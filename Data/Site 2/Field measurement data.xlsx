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Milk-ripe s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<sst xmlns="http://schemas.openxmlformats.org/spreadsheetml/2006/main" count="15" uniqueCount="9">
  <si>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Sample Number</t>
  </si>
  <si>
    <t>Leaf</t>
  </si>
  <si>
    <t>Stem</t>
  </si>
  <si>
    <t>Grain</t>
  </si>
  <si>
    <t>TSPU (mg/plant)</t>
  </si>
  <si>
    <t>TSPU (kg/ha)</t>
  </si>
  <si>
    <t>TP(mg/g)</t>
  </si>
  <si>
    <t>Biomass(g)</t>
  </si>
  <si>
    <t>P uptake (mg/plant)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</si>
</sst>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8"/>
      <color theme="1"/>
      <name val="Times New Roman"/>
      <charset val="134"/>
    </font>
    <font>
      <sz val="1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tabSelected="1" workbookViewId="0">
      <selection activeCell="A1" sqref="A1:A2"/>
    </sheetView>
  </sheetViews>
  <sheetFormatPr defaultColWidth="9" defaultRowHeight="13.5"/>
  <cols>
    <col min="1" max="1" width="22.125" customWidth="1"/>
    <col min="2" max="2" width="14" customWidth="1"/>
    <col min="3" max="3" width="16.25" customWidth="1"/>
    <col min="4" max="4" width="29" customWidth="1"/>
    <col min="5" max="5" width="14" customWidth="1"/>
    <col min="6" max="6" width="16.25" customWidth="1"/>
    <col min="7" max="7" width="29" customWidth="1"/>
    <col min="8" max="8" width="14" customWidth="1"/>
    <col min="9" max="9" width="16.25" customWidth="1"/>
    <col min="10" max="10" width="29" customWidth="1"/>
    <col min="11" max="11" width="28.625" customWidth="1"/>
    <col min="12" max="12" width="23.25" customWidth="1"/>
  </cols>
  <sheetData>
    <row r="1" s="1" customFormat="1" ht="25.5" spans="1:12">
      <c r="A1" s="2" t="s">
        <v>0</v>
      </c>
      <c r="B1" s="3" t="s">
        <v>1</v>
      </c>
      <c r="C1" s="3"/>
      <c r="D1" s="3"/>
      <c r="E1" s="4" t="s">
        <v>2</v>
      </c>
      <c r="F1" s="4"/>
      <c r="G1" s="4"/>
      <c r="H1" s="5" t="s">
        <v>3</v>
      </c>
      <c r="I1" s="5"/>
      <c r="J1" s="5"/>
      <c r="K1" s="6" t="s">
        <v>4</v>
      </c>
      <c r="L1" s="7" t="s">
        <v>5</v>
      </c>
    </row>
    <row r="2" s="1" customFormat="1" ht="22.5" spans="1:12">
      <c r="A2" s="2"/>
      <c r="B2" s="8" t="s">
        <v>6</v>
      </c>
      <c r="C2" s="8" t="s">
        <v>7</v>
      </c>
      <c r="D2" s="8" t="s">
        <v>8</v>
      </c>
      <c r="E2" s="9" t="s">
        <v>6</v>
      </c>
      <c r="F2" s="9" t="s">
        <v>7</v>
      </c>
      <c r="G2" s="9" t="s">
        <v>8</v>
      </c>
      <c r="H2" s="10" t="s">
        <v>6</v>
      </c>
      <c r="I2" s="10" t="s">
        <v>7</v>
      </c>
      <c r="J2" s="10" t="s">
        <v>8</v>
      </c>
      <c r="K2" s="6"/>
      <c r="L2" s="7"/>
    </row>
    <row r="3" ht="23.25" spans="1:12">
      <c r="A3" s="11">
        <v>1</v>
      </c>
      <c r="B3" s="12">
        <v>1.33540158566012</v>
      </c>
      <c r="C3" s="12">
        <v>41.74</v>
      </c>
      <c r="D3" s="12">
        <f t="shared" ref="D3:D66" si="0">B3*C3</f>
        <v>55.7396621854534</v>
      </c>
      <c r="E3" s="13">
        <v>1.24904862579281</v>
      </c>
      <c r="F3" s="13">
        <v>46.83</v>
      </c>
      <c r="G3" s="13">
        <f t="shared" ref="G3:G66" si="1">E3*F3</f>
        <v>58.4929471458773</v>
      </c>
      <c r="H3" s="14">
        <v>5.56433677521843</v>
      </c>
      <c r="I3" s="14">
        <v>147.4</v>
      </c>
      <c r="J3" s="15">
        <f t="shared" ref="J3:J66" si="2">H3*I3</f>
        <v>820.183240667197</v>
      </c>
      <c r="K3" s="2">
        <f>D3+G3+J3</f>
        <v>934.415849998527</v>
      </c>
      <c r="L3" s="16">
        <f>K3*75000*0.001*0.001</f>
        <v>70.0811887498895</v>
      </c>
    </row>
    <row r="4" ht="23.25" spans="1:12">
      <c r="A4" s="11">
        <v>2</v>
      </c>
      <c r="B4" s="12">
        <v>0.806601042269832</v>
      </c>
      <c r="C4" s="12">
        <v>54.03</v>
      </c>
      <c r="D4" s="12">
        <f t="shared" si="0"/>
        <v>43.580654313839</v>
      </c>
      <c r="E4" s="13">
        <v>0.415458937198068</v>
      </c>
      <c r="F4" s="13">
        <v>74.73</v>
      </c>
      <c r="G4" s="13">
        <f t="shared" si="1"/>
        <v>31.0472463768116</v>
      </c>
      <c r="H4" s="14">
        <v>4.18595041322314</v>
      </c>
      <c r="I4" s="14">
        <v>193.68</v>
      </c>
      <c r="J4" s="15">
        <f t="shared" si="2"/>
        <v>810.734876033058</v>
      </c>
      <c r="K4" s="2">
        <f t="shared" ref="K3:K66" si="3">D4+G4+J4</f>
        <v>885.362776723709</v>
      </c>
      <c r="L4" s="16">
        <f t="shared" ref="L4:L35" si="4">K4*75000*0.001*0.001</f>
        <v>66.4022082542782</v>
      </c>
    </row>
    <row r="5" ht="23.25" spans="1:12">
      <c r="A5" s="11">
        <v>3</v>
      </c>
      <c r="B5" s="12">
        <v>1.22644863135443</v>
      </c>
      <c r="C5" s="12">
        <v>41.03</v>
      </c>
      <c r="D5" s="12">
        <f t="shared" si="0"/>
        <v>50.3211873444723</v>
      </c>
      <c r="E5" s="13">
        <v>0.774326176336226</v>
      </c>
      <c r="F5" s="13">
        <v>62.98</v>
      </c>
      <c r="G5" s="13">
        <f t="shared" si="1"/>
        <v>48.7670625856555</v>
      </c>
      <c r="H5" s="14">
        <v>4.05931828242585</v>
      </c>
      <c r="I5" s="14">
        <v>194.68</v>
      </c>
      <c r="J5" s="15">
        <f t="shared" si="2"/>
        <v>790.268083222664</v>
      </c>
      <c r="K5" s="2">
        <f t="shared" si="3"/>
        <v>889.356333152792</v>
      </c>
      <c r="L5" s="16">
        <f t="shared" si="4"/>
        <v>66.7017249864594</v>
      </c>
    </row>
    <row r="6" ht="23.25" spans="1:12">
      <c r="A6" s="11">
        <v>4</v>
      </c>
      <c r="B6" s="12">
        <v>0.628882613957241</v>
      </c>
      <c r="C6" s="12">
        <v>47.3</v>
      </c>
      <c r="D6" s="12">
        <f t="shared" si="0"/>
        <v>29.7461476401775</v>
      </c>
      <c r="E6" s="13">
        <v>0.24947501049979</v>
      </c>
      <c r="F6" s="13">
        <v>71.05</v>
      </c>
      <c r="G6" s="13">
        <f t="shared" si="1"/>
        <v>17.7251994960101</v>
      </c>
      <c r="H6" s="14">
        <v>3.42289535798584</v>
      </c>
      <c r="I6" s="14">
        <v>211.78</v>
      </c>
      <c r="J6" s="15">
        <f t="shared" si="2"/>
        <v>724.900778914241</v>
      </c>
      <c r="K6" s="2">
        <f t="shared" si="3"/>
        <v>772.372126050429</v>
      </c>
      <c r="L6" s="16">
        <f t="shared" si="4"/>
        <v>57.9279094537822</v>
      </c>
    </row>
    <row r="7" ht="23.25" spans="1:12">
      <c r="A7" s="11">
        <v>5</v>
      </c>
      <c r="B7" s="12">
        <v>2.62214983713355</v>
      </c>
      <c r="C7" s="12">
        <v>23.02</v>
      </c>
      <c r="D7" s="12">
        <f t="shared" si="0"/>
        <v>60.3618892508143</v>
      </c>
      <c r="E7" s="13">
        <v>5.66758747697974</v>
      </c>
      <c r="F7" s="13">
        <v>33.39</v>
      </c>
      <c r="G7" s="13">
        <f t="shared" si="1"/>
        <v>189.240745856354</v>
      </c>
      <c r="H7" s="14">
        <v>5.04282115869018</v>
      </c>
      <c r="I7" s="14">
        <v>91.53</v>
      </c>
      <c r="J7" s="15">
        <f t="shared" si="2"/>
        <v>461.569420654912</v>
      </c>
      <c r="K7" s="2">
        <f t="shared" si="3"/>
        <v>711.17205576208</v>
      </c>
      <c r="L7" s="16">
        <f t="shared" si="4"/>
        <v>53.337904182156</v>
      </c>
    </row>
    <row r="8" ht="23.25" spans="1:12">
      <c r="A8" s="11">
        <v>6</v>
      </c>
      <c r="B8" s="12">
        <v>1.09664848012471</v>
      </c>
      <c r="C8" s="12">
        <v>46.36</v>
      </c>
      <c r="D8" s="12">
        <f t="shared" si="0"/>
        <v>50.8406235385816</v>
      </c>
      <c r="E8" s="13">
        <v>0.606697819314642</v>
      </c>
      <c r="F8" s="13">
        <v>78.79</v>
      </c>
      <c r="G8" s="13">
        <f t="shared" si="1"/>
        <v>47.8017211838006</v>
      </c>
      <c r="H8" s="14">
        <v>4.35555555555556</v>
      </c>
      <c r="I8" s="14">
        <v>206.17</v>
      </c>
      <c r="J8" s="15">
        <f t="shared" si="2"/>
        <v>897.98488888889</v>
      </c>
      <c r="K8" s="2">
        <f t="shared" si="3"/>
        <v>996.627233611272</v>
      </c>
      <c r="L8" s="16">
        <f t="shared" si="4"/>
        <v>74.7470425208454</v>
      </c>
    </row>
    <row r="9" ht="23.25" spans="1:12">
      <c r="A9" s="11">
        <v>7</v>
      </c>
      <c r="B9" s="12">
        <v>0.958939902948861</v>
      </c>
      <c r="C9" s="12">
        <v>48.21</v>
      </c>
      <c r="D9" s="12">
        <f t="shared" si="0"/>
        <v>46.2304927211646</v>
      </c>
      <c r="E9" s="13">
        <v>0.369150779896014</v>
      </c>
      <c r="F9" s="13">
        <v>55.77</v>
      </c>
      <c r="G9" s="13">
        <f t="shared" si="1"/>
        <v>20.5875389948007</v>
      </c>
      <c r="H9" s="14">
        <v>3.88965221124946</v>
      </c>
      <c r="I9" s="14">
        <v>198.01</v>
      </c>
      <c r="J9" s="15">
        <f t="shared" si="2"/>
        <v>770.190034349506</v>
      </c>
      <c r="K9" s="2">
        <f t="shared" si="3"/>
        <v>837.008066065471</v>
      </c>
      <c r="L9" s="16">
        <f t="shared" si="4"/>
        <v>62.7756049549103</v>
      </c>
    </row>
    <row r="10" ht="23.25" spans="1:12">
      <c r="A10" s="11">
        <v>8</v>
      </c>
      <c r="B10" s="12">
        <v>0.62200956937799</v>
      </c>
      <c r="C10" s="12">
        <v>62.13</v>
      </c>
      <c r="D10" s="12">
        <f t="shared" si="0"/>
        <v>38.6454545454545</v>
      </c>
      <c r="E10" s="13">
        <v>0.273152081563297</v>
      </c>
      <c r="F10" s="13">
        <v>69.46</v>
      </c>
      <c r="G10" s="13">
        <f t="shared" si="1"/>
        <v>18.9731435853866</v>
      </c>
      <c r="H10" s="14">
        <v>4.45691056910569</v>
      </c>
      <c r="I10" s="14">
        <v>228.96</v>
      </c>
      <c r="J10" s="15">
        <f t="shared" si="2"/>
        <v>1020.45424390244</v>
      </c>
      <c r="K10" s="2">
        <f t="shared" si="3"/>
        <v>1078.07284203328</v>
      </c>
      <c r="L10" s="16">
        <f t="shared" si="4"/>
        <v>80.855463152496</v>
      </c>
    </row>
    <row r="11" ht="23.25" spans="1:12">
      <c r="A11" s="11">
        <v>9</v>
      </c>
      <c r="B11" s="12">
        <v>1.94189071986123</v>
      </c>
      <c r="C11" s="12">
        <v>26.81</v>
      </c>
      <c r="D11" s="12">
        <f t="shared" si="0"/>
        <v>52.0620901994796</v>
      </c>
      <c r="E11" s="13">
        <v>4.6547572815534</v>
      </c>
      <c r="F11" s="13">
        <v>26.02</v>
      </c>
      <c r="G11" s="13">
        <f t="shared" si="1"/>
        <v>121.116784466019</v>
      </c>
      <c r="H11" s="14">
        <v>4.19991600167997</v>
      </c>
      <c r="I11" s="14">
        <v>82.17</v>
      </c>
      <c r="J11" s="15">
        <f t="shared" si="2"/>
        <v>345.107097858043</v>
      </c>
      <c r="K11" s="2">
        <f t="shared" si="3"/>
        <v>518.285972523542</v>
      </c>
      <c r="L11" s="16">
        <f t="shared" si="4"/>
        <v>38.8714479392657</v>
      </c>
    </row>
    <row r="12" ht="23.25" spans="1:12">
      <c r="A12" s="11">
        <v>10</v>
      </c>
      <c r="B12" s="12">
        <v>1.229078613694</v>
      </c>
      <c r="C12" s="12">
        <v>48.17</v>
      </c>
      <c r="D12" s="12">
        <f t="shared" si="0"/>
        <v>59.20471682164</v>
      </c>
      <c r="E12" s="13">
        <v>0.564288593309149</v>
      </c>
      <c r="F12" s="13">
        <v>60.06</v>
      </c>
      <c r="G12" s="13">
        <f t="shared" si="1"/>
        <v>33.8911729141475</v>
      </c>
      <c r="H12" s="14">
        <v>4.29770017035775</v>
      </c>
      <c r="I12" s="14">
        <v>169.23</v>
      </c>
      <c r="J12" s="15">
        <f t="shared" si="2"/>
        <v>727.299799829642</v>
      </c>
      <c r="K12" s="2">
        <f t="shared" si="3"/>
        <v>820.395689565429</v>
      </c>
      <c r="L12" s="16">
        <f t="shared" si="4"/>
        <v>61.5296767174072</v>
      </c>
    </row>
    <row r="13" ht="23.25" spans="1:12">
      <c r="A13" s="11">
        <v>11</v>
      </c>
      <c r="B13" s="12">
        <v>1.11783960720131</v>
      </c>
      <c r="C13" s="12">
        <v>45.45</v>
      </c>
      <c r="D13" s="12">
        <f t="shared" si="0"/>
        <v>50.8058101472995</v>
      </c>
      <c r="E13" s="13">
        <v>0.56720202874049</v>
      </c>
      <c r="F13" s="13">
        <v>52.97</v>
      </c>
      <c r="G13" s="13">
        <f t="shared" si="1"/>
        <v>30.0446914623838</v>
      </c>
      <c r="H13" s="14">
        <v>4.06076388888889</v>
      </c>
      <c r="I13" s="14">
        <v>172.73</v>
      </c>
      <c r="J13" s="15">
        <f t="shared" si="2"/>
        <v>701.415746527778</v>
      </c>
      <c r="K13" s="2">
        <f t="shared" si="3"/>
        <v>782.266248137461</v>
      </c>
      <c r="L13" s="16">
        <f t="shared" si="4"/>
        <v>58.6699686103096</v>
      </c>
    </row>
    <row r="14" ht="23.25" spans="1:12">
      <c r="A14" s="11">
        <v>12</v>
      </c>
      <c r="B14" s="12">
        <v>0.639804241435563</v>
      </c>
      <c r="C14" s="12">
        <v>44.41</v>
      </c>
      <c r="D14" s="12">
        <f t="shared" si="0"/>
        <v>28.4137063621534</v>
      </c>
      <c r="E14" s="13">
        <v>0.436237164624048</v>
      </c>
      <c r="F14" s="13">
        <v>57.79</v>
      </c>
      <c r="G14" s="13">
        <f t="shared" si="1"/>
        <v>25.2101457436237</v>
      </c>
      <c r="H14" s="14">
        <v>4.32034632034632</v>
      </c>
      <c r="I14" s="14">
        <v>193.59</v>
      </c>
      <c r="J14" s="15">
        <f t="shared" si="2"/>
        <v>836.375844155844</v>
      </c>
      <c r="K14" s="2">
        <f t="shared" si="3"/>
        <v>889.999696261621</v>
      </c>
      <c r="L14" s="16">
        <f t="shared" si="4"/>
        <v>66.7499772196216</v>
      </c>
    </row>
    <row r="15" ht="23.25" spans="1:12">
      <c r="A15" s="11">
        <v>13</v>
      </c>
      <c r="B15" s="12">
        <v>3.96876337184424</v>
      </c>
      <c r="C15" s="12">
        <v>42.99</v>
      </c>
      <c r="D15" s="12">
        <f t="shared" si="0"/>
        <v>170.617137355584</v>
      </c>
      <c r="E15" s="13">
        <v>4.67229072031149</v>
      </c>
      <c r="F15" s="13">
        <v>39.83</v>
      </c>
      <c r="G15" s="13">
        <f t="shared" si="1"/>
        <v>186.097339390007</v>
      </c>
      <c r="H15" s="14">
        <v>4.7197269134028</v>
      </c>
      <c r="I15" s="14">
        <v>149.19</v>
      </c>
      <c r="J15" s="15">
        <f t="shared" si="2"/>
        <v>704.136058210564</v>
      </c>
      <c r="K15" s="2">
        <f t="shared" si="3"/>
        <v>1060.85053495615</v>
      </c>
      <c r="L15" s="16">
        <f t="shared" si="4"/>
        <v>79.5637901217116</v>
      </c>
    </row>
    <row r="16" ht="23.25" spans="1:12">
      <c r="A16" s="11">
        <v>14</v>
      </c>
      <c r="B16" s="12">
        <v>1.71773906861002</v>
      </c>
      <c r="C16" s="12">
        <v>33.24</v>
      </c>
      <c r="D16" s="12">
        <f t="shared" si="0"/>
        <v>57.0976466405971</v>
      </c>
      <c r="E16" s="13">
        <v>1.3041257367387</v>
      </c>
      <c r="F16" s="13">
        <v>29.34</v>
      </c>
      <c r="G16" s="13">
        <f t="shared" si="1"/>
        <v>38.2630491159135</v>
      </c>
      <c r="H16" s="14">
        <v>4.23933747412008</v>
      </c>
      <c r="I16" s="14">
        <v>99.04</v>
      </c>
      <c r="J16" s="15">
        <f t="shared" si="2"/>
        <v>419.863983436853</v>
      </c>
      <c r="K16" s="2">
        <f t="shared" si="3"/>
        <v>515.224679193363</v>
      </c>
      <c r="L16" s="16">
        <f t="shared" si="4"/>
        <v>38.6418509395022</v>
      </c>
    </row>
    <row r="17" ht="23.25" spans="1:12">
      <c r="A17" s="11">
        <v>15</v>
      </c>
      <c r="B17" s="12">
        <v>1.16773934030571</v>
      </c>
      <c r="C17" s="12">
        <v>57.59</v>
      </c>
      <c r="D17" s="12">
        <f t="shared" si="0"/>
        <v>67.2501086082058</v>
      </c>
      <c r="E17" s="13">
        <v>0.880142405063291</v>
      </c>
      <c r="F17" s="13">
        <v>72.06</v>
      </c>
      <c r="G17" s="13">
        <f t="shared" si="1"/>
        <v>63.4230617088608</v>
      </c>
      <c r="H17" s="14">
        <v>4.57854769814903</v>
      </c>
      <c r="I17" s="14">
        <v>227.19</v>
      </c>
      <c r="J17" s="15">
        <f t="shared" si="2"/>
        <v>1040.20025154248</v>
      </c>
      <c r="K17" s="2">
        <f t="shared" si="3"/>
        <v>1170.87342185954</v>
      </c>
      <c r="L17" s="16">
        <f t="shared" si="4"/>
        <v>87.8155066394658</v>
      </c>
    </row>
    <row r="18" ht="23.25" spans="1:12">
      <c r="A18" s="11">
        <v>16</v>
      </c>
      <c r="B18" s="12">
        <v>0.798329853862213</v>
      </c>
      <c r="C18" s="12">
        <v>59.49</v>
      </c>
      <c r="D18" s="12">
        <f t="shared" si="0"/>
        <v>47.4926430062631</v>
      </c>
      <c r="E18" s="13">
        <v>0.240845602114005</v>
      </c>
      <c r="F18" s="13">
        <v>78.55</v>
      </c>
      <c r="G18" s="13">
        <f t="shared" si="1"/>
        <v>18.9184220460551</v>
      </c>
      <c r="H18" s="14">
        <v>4.46263345195729</v>
      </c>
      <c r="I18" s="14">
        <v>230.36</v>
      </c>
      <c r="J18" s="15">
        <f t="shared" si="2"/>
        <v>1028.01224199288</v>
      </c>
      <c r="K18" s="2">
        <f t="shared" si="3"/>
        <v>1094.4233070452</v>
      </c>
      <c r="L18" s="16">
        <f t="shared" si="4"/>
        <v>82.08174802839</v>
      </c>
    </row>
    <row r="19" ht="23.25" spans="1:12">
      <c r="A19" s="11">
        <v>17</v>
      </c>
      <c r="B19" s="12">
        <v>1.2923449948043</v>
      </c>
      <c r="C19" s="12">
        <v>56.13</v>
      </c>
      <c r="D19" s="12">
        <f t="shared" si="0"/>
        <v>72.5393245583654</v>
      </c>
      <c r="E19" s="13">
        <v>0.774299835255354</v>
      </c>
      <c r="F19" s="13">
        <v>70.37</v>
      </c>
      <c r="G19" s="13">
        <f t="shared" si="1"/>
        <v>54.4874794069193</v>
      </c>
      <c r="H19" s="14">
        <v>4.80996232733361</v>
      </c>
      <c r="I19" s="14">
        <v>211.22</v>
      </c>
      <c r="J19" s="15">
        <f t="shared" si="2"/>
        <v>1015.96024277941</v>
      </c>
      <c r="K19" s="2">
        <f t="shared" si="3"/>
        <v>1142.98704674469</v>
      </c>
      <c r="L19" s="16">
        <f t="shared" si="4"/>
        <v>85.7240285058517</v>
      </c>
    </row>
    <row r="20" ht="23.25" spans="1:12">
      <c r="A20" s="11">
        <v>18</v>
      </c>
      <c r="B20" s="12">
        <v>0.646991184361824</v>
      </c>
      <c r="C20" s="12">
        <v>48.58</v>
      </c>
      <c r="D20" s="12">
        <f t="shared" si="0"/>
        <v>31.4308317362974</v>
      </c>
      <c r="E20" s="13">
        <v>0.361738389433319</v>
      </c>
      <c r="F20" s="13">
        <v>61.04</v>
      </c>
      <c r="G20" s="13">
        <f t="shared" si="1"/>
        <v>22.0805112910098</v>
      </c>
      <c r="H20" s="14">
        <v>4.04792851340374</v>
      </c>
      <c r="I20" s="14">
        <v>202.84</v>
      </c>
      <c r="J20" s="15">
        <f t="shared" si="2"/>
        <v>821.081819658815</v>
      </c>
      <c r="K20" s="2">
        <f t="shared" si="3"/>
        <v>874.593162686122</v>
      </c>
      <c r="L20" s="16">
        <f t="shared" si="4"/>
        <v>65.5944872014591</v>
      </c>
    </row>
    <row r="21" ht="23.25" spans="1:12">
      <c r="A21" s="11">
        <v>19</v>
      </c>
      <c r="B21" s="12">
        <v>0.565463108320251</v>
      </c>
      <c r="C21" s="12">
        <v>56.69</v>
      </c>
      <c r="D21" s="12">
        <f t="shared" si="0"/>
        <v>32.056103610675</v>
      </c>
      <c r="E21" s="13">
        <v>0.299614230604372</v>
      </c>
      <c r="F21" s="13">
        <v>66.49</v>
      </c>
      <c r="G21" s="13">
        <f t="shared" si="1"/>
        <v>19.9213501928847</v>
      </c>
      <c r="H21" s="14">
        <v>3.8173318950018</v>
      </c>
      <c r="I21" s="14">
        <v>200.54</v>
      </c>
      <c r="J21" s="15">
        <f t="shared" si="2"/>
        <v>765.527738223661</v>
      </c>
      <c r="K21" s="2">
        <f t="shared" si="3"/>
        <v>817.505192027221</v>
      </c>
      <c r="L21" s="16">
        <f t="shared" si="4"/>
        <v>61.3128894020416</v>
      </c>
    </row>
    <row r="22" ht="23.25" spans="1:12">
      <c r="A22" s="11">
        <v>20</v>
      </c>
      <c r="B22" s="12">
        <v>1.2844</v>
      </c>
      <c r="C22" s="12">
        <v>61.29</v>
      </c>
      <c r="D22" s="12">
        <f t="shared" si="0"/>
        <v>78.720876</v>
      </c>
      <c r="E22" s="13">
        <v>0.510604870384918</v>
      </c>
      <c r="F22" s="13">
        <v>68.56</v>
      </c>
      <c r="G22" s="13">
        <f t="shared" si="1"/>
        <v>35.00706991359</v>
      </c>
      <c r="H22" s="14">
        <v>4.26291899441341</v>
      </c>
      <c r="I22" s="14">
        <v>218.12</v>
      </c>
      <c r="J22" s="15">
        <f t="shared" si="2"/>
        <v>929.827891061453</v>
      </c>
      <c r="K22" s="2">
        <f t="shared" si="3"/>
        <v>1043.55583697504</v>
      </c>
      <c r="L22" s="16">
        <f t="shared" si="4"/>
        <v>78.2666877731282</v>
      </c>
    </row>
    <row r="23" ht="23.25" spans="1:12">
      <c r="A23" s="11">
        <v>21</v>
      </c>
      <c r="B23" s="12">
        <v>0.601763668430335</v>
      </c>
      <c r="C23" s="12">
        <v>43.91</v>
      </c>
      <c r="D23" s="12">
        <f t="shared" si="0"/>
        <v>26.423442680776</v>
      </c>
      <c r="E23" s="13">
        <v>0.661702940053456</v>
      </c>
      <c r="F23" s="13">
        <v>51.4</v>
      </c>
      <c r="G23" s="13">
        <f t="shared" si="1"/>
        <v>34.0115311187476</v>
      </c>
      <c r="H23" s="14">
        <v>3.86885851496121</v>
      </c>
      <c r="I23" s="14">
        <v>166.56</v>
      </c>
      <c r="J23" s="15">
        <f t="shared" si="2"/>
        <v>644.397074251939</v>
      </c>
      <c r="K23" s="2">
        <f t="shared" si="3"/>
        <v>704.832048051463</v>
      </c>
      <c r="L23" s="16">
        <f t="shared" si="4"/>
        <v>52.8624036038597</v>
      </c>
    </row>
    <row r="24" ht="23.25" spans="1:12">
      <c r="A24" s="11">
        <v>22</v>
      </c>
      <c r="B24" s="12">
        <v>1.27729707457767</v>
      </c>
      <c r="C24" s="12">
        <v>52.25</v>
      </c>
      <c r="D24" s="12">
        <f t="shared" si="0"/>
        <v>66.7387721466833</v>
      </c>
      <c r="E24" s="13">
        <v>0.640994785399118</v>
      </c>
      <c r="F24" s="13">
        <v>71.21</v>
      </c>
      <c r="G24" s="13">
        <f t="shared" si="1"/>
        <v>45.6452386682712</v>
      </c>
      <c r="H24" s="14">
        <v>4.46198198198198</v>
      </c>
      <c r="I24" s="14">
        <v>227.37</v>
      </c>
      <c r="J24" s="15">
        <f t="shared" si="2"/>
        <v>1014.52084324324</v>
      </c>
      <c r="K24" s="2">
        <f t="shared" si="3"/>
        <v>1126.9048540582</v>
      </c>
      <c r="L24" s="16">
        <f t="shared" si="4"/>
        <v>84.5178640543648</v>
      </c>
    </row>
    <row r="25" ht="23.25" spans="1:12">
      <c r="A25" s="11">
        <v>23</v>
      </c>
      <c r="B25" s="12">
        <v>1.63041733547352</v>
      </c>
      <c r="C25" s="12">
        <v>33.01</v>
      </c>
      <c r="D25" s="12">
        <f t="shared" si="0"/>
        <v>53.8200762439809</v>
      </c>
      <c r="E25" s="13">
        <v>2.75104048429815</v>
      </c>
      <c r="F25" s="13">
        <v>30.68</v>
      </c>
      <c r="G25" s="13">
        <f t="shared" si="1"/>
        <v>84.4019220582672</v>
      </c>
      <c r="H25" s="14">
        <v>4.90759678597516</v>
      </c>
      <c r="I25" s="14">
        <v>94.48</v>
      </c>
      <c r="J25" s="15">
        <f t="shared" si="2"/>
        <v>463.669744338933</v>
      </c>
      <c r="K25" s="2">
        <f t="shared" si="3"/>
        <v>601.891742641181</v>
      </c>
      <c r="L25" s="16">
        <f t="shared" si="4"/>
        <v>45.1418806980886</v>
      </c>
    </row>
    <row r="26" ht="23.25" spans="1:12">
      <c r="A26" s="11">
        <v>24</v>
      </c>
      <c r="B26" s="12">
        <v>2.49483115093039</v>
      </c>
      <c r="C26" s="12">
        <v>40.8</v>
      </c>
      <c r="D26" s="12">
        <f t="shared" si="0"/>
        <v>101.78911095796</v>
      </c>
      <c r="E26" s="13">
        <v>3.69002502681444</v>
      </c>
      <c r="F26" s="13">
        <v>55.57</v>
      </c>
      <c r="G26" s="13">
        <f t="shared" si="1"/>
        <v>205.054690740078</v>
      </c>
      <c r="H26" s="14">
        <v>4.11071849234393</v>
      </c>
      <c r="I26" s="14">
        <v>173.02</v>
      </c>
      <c r="J26" s="15">
        <f t="shared" si="2"/>
        <v>711.236513545347</v>
      </c>
      <c r="K26" s="2">
        <f t="shared" si="3"/>
        <v>1018.08031524339</v>
      </c>
      <c r="L26" s="16">
        <f t="shared" si="4"/>
        <v>76.3560236432539</v>
      </c>
    </row>
    <row r="27" ht="23.25" spans="1:12">
      <c r="A27" s="11">
        <v>25</v>
      </c>
      <c r="B27" s="12">
        <v>2.61375661375661</v>
      </c>
      <c r="C27" s="12">
        <v>28.63</v>
      </c>
      <c r="D27" s="12">
        <f t="shared" si="0"/>
        <v>74.8318518518517</v>
      </c>
      <c r="E27" s="13">
        <v>2.29337948939853</v>
      </c>
      <c r="F27" s="13">
        <v>30.95</v>
      </c>
      <c r="G27" s="13">
        <f t="shared" si="1"/>
        <v>70.9800951968845</v>
      </c>
      <c r="H27" s="14">
        <v>4.41153435386259</v>
      </c>
      <c r="I27" s="14">
        <v>126.78</v>
      </c>
      <c r="J27" s="15">
        <f t="shared" si="2"/>
        <v>559.294325382699</v>
      </c>
      <c r="K27" s="2">
        <f t="shared" si="3"/>
        <v>705.106272431435</v>
      </c>
      <c r="L27" s="16">
        <f t="shared" si="4"/>
        <v>52.8829704323577</v>
      </c>
    </row>
    <row r="28" ht="23.25" spans="1:12">
      <c r="A28" s="11">
        <v>26</v>
      </c>
      <c r="B28" s="12">
        <v>2.21498371335505</v>
      </c>
      <c r="C28" s="12">
        <v>34.85</v>
      </c>
      <c r="D28" s="12">
        <f t="shared" si="0"/>
        <v>77.1921824104235</v>
      </c>
      <c r="E28" s="13">
        <v>4.07882403067746</v>
      </c>
      <c r="F28" s="13">
        <v>29.45</v>
      </c>
      <c r="G28" s="13">
        <f t="shared" si="1"/>
        <v>120.121367703451</v>
      </c>
      <c r="H28" s="14">
        <v>4.3071948261924</v>
      </c>
      <c r="I28" s="14">
        <v>114.66</v>
      </c>
      <c r="J28" s="15">
        <f t="shared" si="2"/>
        <v>493.862958771221</v>
      </c>
      <c r="K28" s="2">
        <f t="shared" si="3"/>
        <v>691.176508885095</v>
      </c>
      <c r="L28" s="16">
        <f t="shared" si="4"/>
        <v>51.8382381663821</v>
      </c>
    </row>
    <row r="29" ht="23.25" spans="1:12">
      <c r="A29" s="11">
        <v>27</v>
      </c>
      <c r="B29" s="12">
        <v>3.52725914861837</v>
      </c>
      <c r="C29" s="12">
        <v>18.68</v>
      </c>
      <c r="D29" s="12">
        <f t="shared" si="0"/>
        <v>65.8892008961912</v>
      </c>
      <c r="E29" s="13">
        <v>3.69428334714167</v>
      </c>
      <c r="F29" s="13">
        <v>22.45</v>
      </c>
      <c r="G29" s="13">
        <f t="shared" si="1"/>
        <v>82.9366611433305</v>
      </c>
      <c r="H29" s="14">
        <v>4.03498016588532</v>
      </c>
      <c r="I29" s="14">
        <v>80.03</v>
      </c>
      <c r="J29" s="15">
        <f t="shared" si="2"/>
        <v>322.919462675802</v>
      </c>
      <c r="K29" s="2">
        <f t="shared" si="3"/>
        <v>471.745324715324</v>
      </c>
      <c r="L29" s="16">
        <f t="shared" si="4"/>
        <v>35.3808993536493</v>
      </c>
    </row>
    <row r="30" ht="23.25" spans="1:12">
      <c r="A30" s="11">
        <v>28</v>
      </c>
      <c r="B30" s="12">
        <v>3.52151898734177</v>
      </c>
      <c r="C30" s="12">
        <v>14.05</v>
      </c>
      <c r="D30" s="12">
        <f t="shared" si="0"/>
        <v>49.4773417721519</v>
      </c>
      <c r="E30" s="13">
        <v>4.51051051051051</v>
      </c>
      <c r="F30" s="13">
        <v>21.12</v>
      </c>
      <c r="G30" s="13">
        <f t="shared" si="1"/>
        <v>95.261981981982</v>
      </c>
      <c r="H30" s="14">
        <v>4.05237113402062</v>
      </c>
      <c r="I30" s="14">
        <v>63.49</v>
      </c>
      <c r="J30" s="15">
        <f t="shared" si="2"/>
        <v>257.285043298969</v>
      </c>
      <c r="K30" s="2">
        <f t="shared" si="3"/>
        <v>402.024367053103</v>
      </c>
      <c r="L30" s="16">
        <f t="shared" si="4"/>
        <v>30.1518275289827</v>
      </c>
    </row>
    <row r="31" ht="23.25" spans="1:12">
      <c r="A31" s="11">
        <v>29</v>
      </c>
      <c r="B31" s="12">
        <v>2.73399226471852</v>
      </c>
      <c r="C31" s="12">
        <v>15.29</v>
      </c>
      <c r="D31" s="12">
        <f t="shared" si="0"/>
        <v>41.8027417275462</v>
      </c>
      <c r="E31" s="13">
        <v>3.47090606816293</v>
      </c>
      <c r="F31" s="13">
        <v>19.9</v>
      </c>
      <c r="G31" s="13">
        <f t="shared" si="1"/>
        <v>69.0710307564423</v>
      </c>
      <c r="H31" s="14">
        <v>4.06232062320623</v>
      </c>
      <c r="I31" s="14">
        <v>76.24</v>
      </c>
      <c r="J31" s="15">
        <f t="shared" si="2"/>
        <v>309.711324313243</v>
      </c>
      <c r="K31" s="2">
        <f t="shared" si="3"/>
        <v>420.585096797231</v>
      </c>
      <c r="L31" s="16">
        <f t="shared" si="4"/>
        <v>31.5438822597924</v>
      </c>
    </row>
    <row r="32" ht="23.25" spans="1:12">
      <c r="A32" s="11">
        <v>30</v>
      </c>
      <c r="B32" s="12">
        <v>2.47058823529412</v>
      </c>
      <c r="C32" s="12">
        <v>21.17</v>
      </c>
      <c r="D32" s="12">
        <f t="shared" si="0"/>
        <v>52.3023529411765</v>
      </c>
      <c r="E32" s="13">
        <v>4.39800230503266</v>
      </c>
      <c r="F32" s="13">
        <v>22.58</v>
      </c>
      <c r="G32" s="13">
        <f t="shared" si="1"/>
        <v>99.3068920476375</v>
      </c>
      <c r="H32" s="14">
        <v>4.63716814159292</v>
      </c>
      <c r="I32" s="14">
        <v>61.34</v>
      </c>
      <c r="J32" s="15">
        <f t="shared" si="2"/>
        <v>284.44389380531</v>
      </c>
      <c r="K32" s="2">
        <f t="shared" si="3"/>
        <v>436.053138794124</v>
      </c>
      <c r="L32" s="16">
        <f t="shared" si="4"/>
        <v>32.7039854095593</v>
      </c>
    </row>
    <row r="33" ht="23.25" spans="1:12">
      <c r="A33" s="11">
        <v>31</v>
      </c>
      <c r="B33" s="12">
        <v>1.56</v>
      </c>
      <c r="C33" s="12">
        <v>36.92</v>
      </c>
      <c r="D33" s="12">
        <f t="shared" si="0"/>
        <v>57.5952</v>
      </c>
      <c r="E33" s="13">
        <v>1.80212591986917</v>
      </c>
      <c r="F33" s="13">
        <v>38.22</v>
      </c>
      <c r="G33" s="13">
        <f t="shared" si="1"/>
        <v>68.8772526573997</v>
      </c>
      <c r="H33" s="14">
        <v>4.26894759636206</v>
      </c>
      <c r="I33" s="14">
        <v>142.57</v>
      </c>
      <c r="J33" s="15">
        <f t="shared" si="2"/>
        <v>608.623858813339</v>
      </c>
      <c r="K33" s="2">
        <f t="shared" si="3"/>
        <v>735.096311470739</v>
      </c>
      <c r="L33" s="16">
        <f t="shared" si="4"/>
        <v>55.1322233603054</v>
      </c>
    </row>
    <row r="34" ht="23.25" spans="1:12">
      <c r="A34" s="11">
        <v>32</v>
      </c>
      <c r="B34" s="12">
        <v>0.760713168595558</v>
      </c>
      <c r="C34" s="12">
        <v>30.82</v>
      </c>
      <c r="D34" s="12">
        <f t="shared" si="0"/>
        <v>23.4451798561151</v>
      </c>
      <c r="E34" s="13">
        <v>0.929159802306425</v>
      </c>
      <c r="F34" s="13">
        <v>31.79</v>
      </c>
      <c r="G34" s="13">
        <f t="shared" si="1"/>
        <v>29.5379901153213</v>
      </c>
      <c r="H34" s="14">
        <v>3.75902211874272</v>
      </c>
      <c r="I34" s="14">
        <v>108.26</v>
      </c>
      <c r="J34" s="15">
        <f t="shared" si="2"/>
        <v>406.951734575087</v>
      </c>
      <c r="K34" s="2">
        <f t="shared" si="3"/>
        <v>459.934904546523</v>
      </c>
      <c r="L34" s="16">
        <f t="shared" si="4"/>
        <v>34.4951178409892</v>
      </c>
    </row>
    <row r="35" ht="23.25" spans="1:12">
      <c r="A35" s="11">
        <v>33</v>
      </c>
      <c r="B35" s="12">
        <v>1.65922718187875</v>
      </c>
      <c r="C35" s="12">
        <v>64.99</v>
      </c>
      <c r="D35" s="12">
        <f t="shared" si="0"/>
        <v>107.8331745503</v>
      </c>
      <c r="E35" s="13">
        <v>1.81789390340459</v>
      </c>
      <c r="F35" s="13">
        <v>86.99</v>
      </c>
      <c r="G35" s="13">
        <f t="shared" si="1"/>
        <v>158.138590657165</v>
      </c>
      <c r="H35" s="14">
        <v>5.17834394904459</v>
      </c>
      <c r="I35" s="14">
        <v>244.05</v>
      </c>
      <c r="J35" s="15">
        <f t="shared" si="2"/>
        <v>1263.77484076433</v>
      </c>
      <c r="K35" s="2">
        <f t="shared" si="3"/>
        <v>1529.7466059718</v>
      </c>
      <c r="L35" s="16">
        <f t="shared" si="4"/>
        <v>114.730995447885</v>
      </c>
    </row>
    <row r="36" ht="23.25" spans="1:12">
      <c r="A36" s="11">
        <v>34</v>
      </c>
      <c r="B36" s="12">
        <v>1.17508677207867</v>
      </c>
      <c r="C36" s="12">
        <v>65.19</v>
      </c>
      <c r="D36" s="12">
        <f t="shared" si="0"/>
        <v>76.6039066718085</v>
      </c>
      <c r="E36" s="13">
        <v>0.642128279883382</v>
      </c>
      <c r="F36" s="13">
        <v>84.77</v>
      </c>
      <c r="G36" s="13">
        <f t="shared" si="1"/>
        <v>54.4332142857143</v>
      </c>
      <c r="H36" s="14">
        <v>4.4965163182985</v>
      </c>
      <c r="I36" s="14">
        <v>241.02</v>
      </c>
      <c r="J36" s="15">
        <f t="shared" si="2"/>
        <v>1083.7503630363</v>
      </c>
      <c r="K36" s="2">
        <f t="shared" si="3"/>
        <v>1214.78748399383</v>
      </c>
      <c r="L36" s="16">
        <f t="shared" ref="L36:L67" si="5">K36*75000*0.001*0.001</f>
        <v>91.1090612995371</v>
      </c>
    </row>
    <row r="37" ht="23.25" spans="1:12">
      <c r="A37" s="11">
        <v>35</v>
      </c>
      <c r="B37" s="12">
        <v>0.726590421729807</v>
      </c>
      <c r="C37" s="12">
        <v>47</v>
      </c>
      <c r="D37" s="12">
        <f t="shared" si="0"/>
        <v>34.1497498213009</v>
      </c>
      <c r="E37" s="13">
        <v>0.560695780903035</v>
      </c>
      <c r="F37" s="13">
        <v>56.63</v>
      </c>
      <c r="G37" s="13">
        <f t="shared" si="1"/>
        <v>31.7522020725389</v>
      </c>
      <c r="H37" s="14">
        <v>4.41190965092402</v>
      </c>
      <c r="I37" s="14">
        <v>210.95</v>
      </c>
      <c r="J37" s="15">
        <f t="shared" si="2"/>
        <v>930.692340862422</v>
      </c>
      <c r="K37" s="2">
        <f t="shared" si="3"/>
        <v>996.594292756262</v>
      </c>
      <c r="L37" s="16">
        <f t="shared" si="5"/>
        <v>74.7445719567196</v>
      </c>
    </row>
    <row r="38" ht="23.25" spans="1:12">
      <c r="A38" s="11">
        <v>36</v>
      </c>
      <c r="B38" s="12">
        <v>1.20303975058457</v>
      </c>
      <c r="C38" s="12">
        <v>47.73</v>
      </c>
      <c r="D38" s="12">
        <f t="shared" si="0"/>
        <v>57.4210872954015</v>
      </c>
      <c r="E38" s="13">
        <v>1.12558502340094</v>
      </c>
      <c r="F38" s="13">
        <v>58.15</v>
      </c>
      <c r="G38" s="13">
        <f t="shared" si="1"/>
        <v>65.4527691107646</v>
      </c>
      <c r="H38" s="14">
        <v>4.36262376237624</v>
      </c>
      <c r="I38" s="14">
        <v>193.49</v>
      </c>
      <c r="J38" s="15">
        <f t="shared" si="2"/>
        <v>844.124071782179</v>
      </c>
      <c r="K38" s="2">
        <f t="shared" si="3"/>
        <v>966.997928188345</v>
      </c>
      <c r="L38" s="16">
        <f t="shared" si="5"/>
        <v>72.5248446141259</v>
      </c>
    </row>
    <row r="39" ht="23.25" spans="1:12">
      <c r="A39" s="11">
        <v>37</v>
      </c>
      <c r="B39" s="12">
        <v>0.658468861562872</v>
      </c>
      <c r="C39" s="12">
        <v>61.83</v>
      </c>
      <c r="D39" s="12">
        <f t="shared" si="0"/>
        <v>40.7131297104324</v>
      </c>
      <c r="E39" s="13">
        <v>0.267189835575486</v>
      </c>
      <c r="F39" s="13">
        <v>78.43</v>
      </c>
      <c r="G39" s="13">
        <f t="shared" si="1"/>
        <v>20.9556988041854</v>
      </c>
      <c r="H39" s="14">
        <v>3.80886736214605</v>
      </c>
      <c r="I39" s="14">
        <v>234.09</v>
      </c>
      <c r="J39" s="15">
        <f t="shared" si="2"/>
        <v>891.617760804769</v>
      </c>
      <c r="K39" s="2">
        <f t="shared" si="3"/>
        <v>953.286589319387</v>
      </c>
      <c r="L39" s="16">
        <f t="shared" si="5"/>
        <v>71.496494198954</v>
      </c>
    </row>
    <row r="40" ht="23.25" spans="1:12">
      <c r="A40" s="11">
        <v>38</v>
      </c>
      <c r="B40" s="12">
        <v>0.693239546697929</v>
      </c>
      <c r="C40" s="12">
        <v>56.52</v>
      </c>
      <c r="D40" s="12">
        <f t="shared" si="0"/>
        <v>39.181899179367</v>
      </c>
      <c r="E40" s="13">
        <v>0.278800856531049</v>
      </c>
      <c r="F40" s="13">
        <v>71.88</v>
      </c>
      <c r="G40" s="13">
        <f t="shared" si="1"/>
        <v>20.0402055674518</v>
      </c>
      <c r="H40" s="14">
        <v>4.14671968190855</v>
      </c>
      <c r="I40" s="14">
        <v>238.59</v>
      </c>
      <c r="J40" s="15">
        <f t="shared" si="2"/>
        <v>989.365848906561</v>
      </c>
      <c r="K40" s="2">
        <f t="shared" si="3"/>
        <v>1048.58795365338</v>
      </c>
      <c r="L40" s="16">
        <f t="shared" si="5"/>
        <v>78.6440965240035</v>
      </c>
    </row>
    <row r="41" ht="23.25" spans="1:12">
      <c r="A41" s="11">
        <v>39</v>
      </c>
      <c r="B41" s="12">
        <v>0.591659785301404</v>
      </c>
      <c r="C41" s="12">
        <v>42.68</v>
      </c>
      <c r="D41" s="12">
        <f t="shared" si="0"/>
        <v>25.2520396366639</v>
      </c>
      <c r="E41" s="13">
        <v>0.176680972818312</v>
      </c>
      <c r="F41" s="13">
        <v>47.2</v>
      </c>
      <c r="G41" s="13">
        <f t="shared" si="1"/>
        <v>8.33934191702433</v>
      </c>
      <c r="H41" s="14">
        <v>4.08614976805832</v>
      </c>
      <c r="I41" s="14">
        <v>148.63</v>
      </c>
      <c r="J41" s="15">
        <f t="shared" si="2"/>
        <v>607.324440026508</v>
      </c>
      <c r="K41" s="2">
        <f t="shared" si="3"/>
        <v>640.915821580196</v>
      </c>
      <c r="L41" s="16">
        <f t="shared" si="5"/>
        <v>48.0686866185147</v>
      </c>
    </row>
    <row r="42" ht="23.25" spans="1:12">
      <c r="A42" s="11">
        <v>40</v>
      </c>
      <c r="B42" s="12">
        <v>0.563031423290203</v>
      </c>
      <c r="C42" s="12">
        <v>45.56</v>
      </c>
      <c r="D42" s="12">
        <f t="shared" si="0"/>
        <v>25.6517116451016</v>
      </c>
      <c r="E42" s="13">
        <v>0.230390143737166</v>
      </c>
      <c r="F42" s="13">
        <v>62.76</v>
      </c>
      <c r="G42" s="13">
        <f t="shared" si="1"/>
        <v>14.4592854209445</v>
      </c>
      <c r="H42" s="14">
        <v>3.56886477462437</v>
      </c>
      <c r="I42" s="14">
        <v>201.93</v>
      </c>
      <c r="J42" s="15">
        <f t="shared" si="2"/>
        <v>720.660863939899</v>
      </c>
      <c r="K42" s="2">
        <f t="shared" si="3"/>
        <v>760.771861005945</v>
      </c>
      <c r="L42" s="16">
        <f t="shared" si="5"/>
        <v>57.0578895754459</v>
      </c>
    </row>
    <row r="43" ht="23.25" spans="1:12">
      <c r="A43" s="11">
        <v>41</v>
      </c>
      <c r="B43" s="12">
        <v>0.908029713477184</v>
      </c>
      <c r="C43" s="12">
        <v>59.55</v>
      </c>
      <c r="D43" s="12">
        <f t="shared" si="0"/>
        <v>54.0731694375663</v>
      </c>
      <c r="E43" s="13">
        <v>0.315426497277677</v>
      </c>
      <c r="F43" s="13">
        <v>75.17</v>
      </c>
      <c r="G43" s="13">
        <f t="shared" si="1"/>
        <v>23.710609800363</v>
      </c>
      <c r="H43" s="14">
        <v>4.99402985074627</v>
      </c>
      <c r="I43" s="14">
        <v>220.38</v>
      </c>
      <c r="J43" s="15">
        <f t="shared" si="2"/>
        <v>1100.58429850746</v>
      </c>
      <c r="K43" s="2">
        <f t="shared" si="3"/>
        <v>1178.36807774539</v>
      </c>
      <c r="L43" s="16">
        <f t="shared" si="5"/>
        <v>88.3776058309044</v>
      </c>
    </row>
    <row r="44" ht="23.25" spans="1:12">
      <c r="A44" s="11">
        <v>42</v>
      </c>
      <c r="B44" s="12">
        <v>0.638867033831629</v>
      </c>
      <c r="C44" s="12">
        <v>55.35</v>
      </c>
      <c r="D44" s="12">
        <f t="shared" si="0"/>
        <v>35.3612903225807</v>
      </c>
      <c r="E44" s="13">
        <v>0.298543689320388</v>
      </c>
      <c r="F44" s="13">
        <v>65.93</v>
      </c>
      <c r="G44" s="13">
        <f t="shared" si="1"/>
        <v>19.6829854368932</v>
      </c>
      <c r="H44" s="14">
        <v>4.05098203092353</v>
      </c>
      <c r="I44" s="14">
        <v>194.8</v>
      </c>
      <c r="J44" s="15">
        <f t="shared" si="2"/>
        <v>789.131299623904</v>
      </c>
      <c r="K44" s="2">
        <f t="shared" si="3"/>
        <v>844.175575383377</v>
      </c>
      <c r="L44" s="16">
        <f t="shared" si="5"/>
        <v>63.3131681537533</v>
      </c>
    </row>
    <row r="45" ht="23.25" spans="1:12">
      <c r="A45" s="11">
        <v>43</v>
      </c>
      <c r="B45" s="12">
        <v>0.918636187524215</v>
      </c>
      <c r="C45" s="12">
        <v>65.28</v>
      </c>
      <c r="D45" s="12">
        <f t="shared" si="0"/>
        <v>59.9685703215808</v>
      </c>
      <c r="E45" s="13">
        <v>0.367427222659323</v>
      </c>
      <c r="F45" s="13">
        <v>88.6</v>
      </c>
      <c r="G45" s="13">
        <f t="shared" si="1"/>
        <v>32.554051927616</v>
      </c>
      <c r="H45" s="14">
        <v>4.20072405470636</v>
      </c>
      <c r="I45" s="14">
        <v>251.87</v>
      </c>
      <c r="J45" s="15">
        <f t="shared" si="2"/>
        <v>1058.03636765889</v>
      </c>
      <c r="K45" s="2">
        <f t="shared" si="3"/>
        <v>1150.55898990809</v>
      </c>
      <c r="L45" s="16">
        <f t="shared" si="5"/>
        <v>86.2919242431066</v>
      </c>
    </row>
    <row r="46" ht="23.25" spans="1:12">
      <c r="A46" s="11">
        <v>44</v>
      </c>
      <c r="B46" s="12">
        <v>0.792066115702479</v>
      </c>
      <c r="C46" s="12">
        <v>50.54</v>
      </c>
      <c r="D46" s="12">
        <f t="shared" si="0"/>
        <v>40.0310214876033</v>
      </c>
      <c r="E46" s="13">
        <v>0.377007064868337</v>
      </c>
      <c r="F46" s="13">
        <v>66.27</v>
      </c>
      <c r="G46" s="13">
        <f t="shared" si="1"/>
        <v>24.9842581888247</v>
      </c>
      <c r="H46" s="14">
        <v>4.05503412969283</v>
      </c>
      <c r="I46" s="14">
        <v>201.21</v>
      </c>
      <c r="J46" s="15">
        <f t="shared" si="2"/>
        <v>815.913417235494</v>
      </c>
      <c r="K46" s="2">
        <f t="shared" si="3"/>
        <v>880.928696911922</v>
      </c>
      <c r="L46" s="16">
        <f t="shared" si="5"/>
        <v>66.0696522683942</v>
      </c>
    </row>
    <row r="47" ht="23.25" spans="1:12">
      <c r="A47" s="11">
        <v>45</v>
      </c>
      <c r="B47" s="12">
        <v>0.808665511265165</v>
      </c>
      <c r="C47" s="12">
        <v>41.03</v>
      </c>
      <c r="D47" s="12">
        <f t="shared" si="0"/>
        <v>33.1795459272097</v>
      </c>
      <c r="E47" s="13">
        <v>0.238957597173145</v>
      </c>
      <c r="F47" s="13">
        <v>50.86</v>
      </c>
      <c r="G47" s="13">
        <f t="shared" si="1"/>
        <v>12.1533833922262</v>
      </c>
      <c r="H47" s="14">
        <v>3.60836349014877</v>
      </c>
      <c r="I47" s="14">
        <v>167.84</v>
      </c>
      <c r="J47" s="15">
        <f t="shared" si="2"/>
        <v>605.62772818657</v>
      </c>
      <c r="K47" s="2">
        <f t="shared" si="3"/>
        <v>650.960657506005</v>
      </c>
      <c r="L47" s="16">
        <f t="shared" si="5"/>
        <v>48.8220493129504</v>
      </c>
    </row>
    <row r="48" ht="23.25" spans="1:12">
      <c r="A48" s="11">
        <v>46</v>
      </c>
      <c r="B48" s="12">
        <v>1.16877152698048</v>
      </c>
      <c r="C48" s="12">
        <v>56.23</v>
      </c>
      <c r="D48" s="12">
        <f t="shared" si="0"/>
        <v>65.7200229621124</v>
      </c>
      <c r="E48" s="13">
        <v>0.245810055865922</v>
      </c>
      <c r="F48" s="13">
        <v>75.43</v>
      </c>
      <c r="G48" s="13">
        <f t="shared" si="1"/>
        <v>18.5414525139665</v>
      </c>
      <c r="H48" s="14">
        <v>4.34943181818182</v>
      </c>
      <c r="I48" s="14">
        <v>229.55</v>
      </c>
      <c r="J48" s="15">
        <f t="shared" si="2"/>
        <v>998.412073863637</v>
      </c>
      <c r="K48" s="2">
        <f t="shared" si="3"/>
        <v>1082.67354933972</v>
      </c>
      <c r="L48" s="16">
        <f t="shared" si="5"/>
        <v>81.2005162004787</v>
      </c>
    </row>
    <row r="49" ht="23.25" spans="1:12">
      <c r="A49" s="11">
        <v>47</v>
      </c>
      <c r="B49" s="12">
        <v>0.507957128937967</v>
      </c>
      <c r="C49" s="12">
        <v>48.23</v>
      </c>
      <c r="D49" s="12">
        <f t="shared" si="0"/>
        <v>24.4987723286781</v>
      </c>
      <c r="E49" s="13">
        <v>0.214784394250513</v>
      </c>
      <c r="F49" s="13">
        <v>54.88</v>
      </c>
      <c r="G49" s="13">
        <f t="shared" si="1"/>
        <v>11.7873675564682</v>
      </c>
      <c r="H49" s="14">
        <v>3.20245139475909</v>
      </c>
      <c r="I49" s="14">
        <v>212.82</v>
      </c>
      <c r="J49" s="15">
        <f t="shared" si="2"/>
        <v>681.545705832629</v>
      </c>
      <c r="K49" s="2">
        <f t="shared" si="3"/>
        <v>717.831845717776</v>
      </c>
      <c r="L49" s="16">
        <f t="shared" si="5"/>
        <v>53.8373884288332</v>
      </c>
    </row>
    <row r="50" ht="23.25" spans="1:12">
      <c r="A50" s="11">
        <v>48</v>
      </c>
      <c r="B50" s="12">
        <v>0.582538517975055</v>
      </c>
      <c r="C50" s="12">
        <v>47.4</v>
      </c>
      <c r="D50" s="12">
        <f t="shared" si="0"/>
        <v>27.6123257520176</v>
      </c>
      <c r="E50" s="13">
        <v>0.23822290310226</v>
      </c>
      <c r="F50" s="13">
        <v>65.08</v>
      </c>
      <c r="G50" s="13">
        <f t="shared" si="1"/>
        <v>15.5035465338951</v>
      </c>
      <c r="H50" s="14">
        <v>3.69947443860487</v>
      </c>
      <c r="I50" s="14">
        <v>212.96</v>
      </c>
      <c r="J50" s="15">
        <f t="shared" si="2"/>
        <v>787.840076445293</v>
      </c>
      <c r="K50" s="2">
        <f t="shared" si="3"/>
        <v>830.955948731206</v>
      </c>
      <c r="L50" s="16">
        <f t="shared" si="5"/>
        <v>62.3216961548405</v>
      </c>
    </row>
    <row r="51" ht="23.25" spans="1:12">
      <c r="A51" s="11">
        <v>49</v>
      </c>
      <c r="B51" s="12">
        <v>0.681560015145778</v>
      </c>
      <c r="C51" s="12">
        <v>60.01</v>
      </c>
      <c r="D51" s="12">
        <f t="shared" si="0"/>
        <v>40.9004165088981</v>
      </c>
      <c r="E51" s="13">
        <v>0.232865731462926</v>
      </c>
      <c r="F51" s="13">
        <v>79.77</v>
      </c>
      <c r="G51" s="13">
        <f t="shared" si="1"/>
        <v>18.5756993987976</v>
      </c>
      <c r="H51" s="14">
        <v>3.83477932855526</v>
      </c>
      <c r="I51" s="14">
        <v>227.43</v>
      </c>
      <c r="J51" s="15">
        <f t="shared" si="2"/>
        <v>872.143862693323</v>
      </c>
      <c r="K51" s="2">
        <f t="shared" si="3"/>
        <v>931.619978601019</v>
      </c>
      <c r="L51" s="16">
        <f t="shared" si="5"/>
        <v>69.8714983950764</v>
      </c>
    </row>
    <row r="52" ht="23.25" spans="1:12">
      <c r="A52" s="11">
        <v>50</v>
      </c>
      <c r="B52" s="12">
        <v>0.677574922493972</v>
      </c>
      <c r="C52" s="12">
        <v>63.01</v>
      </c>
      <c r="D52" s="12">
        <f t="shared" si="0"/>
        <v>42.6939958663452</v>
      </c>
      <c r="E52" s="13">
        <v>0.234271810914147</v>
      </c>
      <c r="F52" s="13">
        <v>81.89</v>
      </c>
      <c r="G52" s="13">
        <f t="shared" si="1"/>
        <v>19.1845185957595</v>
      </c>
      <c r="H52" s="14">
        <v>4.06409736308316</v>
      </c>
      <c r="I52" s="14">
        <v>209.86</v>
      </c>
      <c r="J52" s="15">
        <f t="shared" si="2"/>
        <v>852.891472616632</v>
      </c>
      <c r="K52" s="2">
        <f t="shared" si="3"/>
        <v>914.769987078737</v>
      </c>
      <c r="L52" s="16">
        <f t="shared" si="5"/>
        <v>68.6077490309053</v>
      </c>
    </row>
    <row r="53" ht="23.25" spans="1:12">
      <c r="A53" s="11">
        <v>51</v>
      </c>
      <c r="B53" s="12">
        <v>0.692045066575623</v>
      </c>
      <c r="C53" s="12">
        <v>48.38</v>
      </c>
      <c r="D53" s="12">
        <f t="shared" si="0"/>
        <v>33.4811403209286</v>
      </c>
      <c r="E53" s="13">
        <v>0.251556662515567</v>
      </c>
      <c r="F53" s="13">
        <v>55.27</v>
      </c>
      <c r="G53" s="13">
        <f t="shared" si="1"/>
        <v>13.9035367372354</v>
      </c>
      <c r="H53" s="14">
        <v>3.53669724770642</v>
      </c>
      <c r="I53" s="14">
        <v>174.72</v>
      </c>
      <c r="J53" s="15">
        <f t="shared" si="2"/>
        <v>617.931743119266</v>
      </c>
      <c r="K53" s="2">
        <f t="shared" si="3"/>
        <v>665.31642017743</v>
      </c>
      <c r="L53" s="16">
        <f t="shared" si="5"/>
        <v>49.8987315133072</v>
      </c>
    </row>
    <row r="54" ht="23.25" spans="1:12">
      <c r="A54" s="11">
        <v>52</v>
      </c>
      <c r="B54" s="12">
        <v>0.743968871595331</v>
      </c>
      <c r="C54" s="12">
        <v>50.26</v>
      </c>
      <c r="D54" s="12">
        <f t="shared" si="0"/>
        <v>37.3918754863813</v>
      </c>
      <c r="E54" s="13">
        <v>0.316680429397192</v>
      </c>
      <c r="F54" s="13">
        <v>66.33</v>
      </c>
      <c r="G54" s="13">
        <f t="shared" si="1"/>
        <v>21.0054128819157</v>
      </c>
      <c r="H54" s="14">
        <v>4.10030745580323</v>
      </c>
      <c r="I54" s="14">
        <v>208.47</v>
      </c>
      <c r="J54" s="15">
        <f t="shared" si="2"/>
        <v>854.791095311299</v>
      </c>
      <c r="K54" s="2">
        <f t="shared" si="3"/>
        <v>913.188383679596</v>
      </c>
      <c r="L54" s="16">
        <f t="shared" si="5"/>
        <v>68.4891287759697</v>
      </c>
    </row>
    <row r="55" ht="23.25" spans="1:12">
      <c r="A55" s="11">
        <v>53</v>
      </c>
      <c r="B55" s="12">
        <v>0.672664624808576</v>
      </c>
      <c r="C55" s="12">
        <v>59.66</v>
      </c>
      <c r="D55" s="12">
        <f t="shared" si="0"/>
        <v>40.1311715160796</v>
      </c>
      <c r="E55" s="13">
        <v>0.245524296675192</v>
      </c>
      <c r="F55" s="13">
        <v>81.42</v>
      </c>
      <c r="G55" s="13">
        <f t="shared" si="1"/>
        <v>19.9905882352941</v>
      </c>
      <c r="H55" s="14">
        <v>4.30230642504119</v>
      </c>
      <c r="I55" s="14">
        <v>231.65</v>
      </c>
      <c r="J55" s="15">
        <f t="shared" si="2"/>
        <v>996.629283360792</v>
      </c>
      <c r="K55" s="2">
        <f t="shared" si="3"/>
        <v>1056.75104311217</v>
      </c>
      <c r="L55" s="16">
        <f t="shared" si="5"/>
        <v>79.2563282334124</v>
      </c>
    </row>
    <row r="56" ht="23.25" spans="1:12">
      <c r="A56" s="11">
        <v>54</v>
      </c>
      <c r="B56" s="12">
        <v>0.846369694843915</v>
      </c>
      <c r="C56" s="12">
        <v>59.44</v>
      </c>
      <c r="D56" s="12">
        <f t="shared" si="0"/>
        <v>50.3082146615223</v>
      </c>
      <c r="E56" s="13">
        <v>0.235568304051631</v>
      </c>
      <c r="F56" s="13">
        <v>86.17</v>
      </c>
      <c r="G56" s="13">
        <f t="shared" si="1"/>
        <v>20.298920760129</v>
      </c>
      <c r="H56" s="14">
        <v>4.31827515400411</v>
      </c>
      <c r="I56" s="14">
        <v>227.73</v>
      </c>
      <c r="J56" s="15">
        <f t="shared" si="2"/>
        <v>983.400800821356</v>
      </c>
      <c r="K56" s="2">
        <f t="shared" si="3"/>
        <v>1054.00793624301</v>
      </c>
      <c r="L56" s="16">
        <f t="shared" si="5"/>
        <v>79.0505952182255</v>
      </c>
    </row>
    <row r="57" ht="23.25" spans="1:12">
      <c r="A57" s="11">
        <v>55</v>
      </c>
      <c r="B57" s="12">
        <v>0.615223463687151</v>
      </c>
      <c r="C57" s="12">
        <v>41.49</v>
      </c>
      <c r="D57" s="12">
        <f t="shared" si="0"/>
        <v>25.5256215083799</v>
      </c>
      <c r="E57" s="13">
        <v>0.2340275326509</v>
      </c>
      <c r="F57" s="13">
        <v>49.1</v>
      </c>
      <c r="G57" s="13">
        <f t="shared" si="1"/>
        <v>11.4907518531592</v>
      </c>
      <c r="H57" s="14">
        <v>3.23400673400673</v>
      </c>
      <c r="I57" s="14">
        <v>154.25</v>
      </c>
      <c r="J57" s="15">
        <f t="shared" si="2"/>
        <v>498.845538720538</v>
      </c>
      <c r="K57" s="2">
        <f t="shared" si="3"/>
        <v>535.861912082077</v>
      </c>
      <c r="L57" s="16">
        <f t="shared" si="5"/>
        <v>40.1896434061558</v>
      </c>
    </row>
    <row r="58" ht="23.25" spans="1:12">
      <c r="A58" s="11">
        <v>56</v>
      </c>
      <c r="B58" s="12">
        <v>1.03915857605178</v>
      </c>
      <c r="C58" s="12">
        <v>51.49</v>
      </c>
      <c r="D58" s="12">
        <f t="shared" si="0"/>
        <v>53.5062750809062</v>
      </c>
      <c r="E58" s="13">
        <v>0.529803776379119</v>
      </c>
      <c r="F58" s="13">
        <v>82.21</v>
      </c>
      <c r="G58" s="13">
        <f t="shared" si="1"/>
        <v>43.5551684561274</v>
      </c>
      <c r="H58" s="14">
        <v>3.82001682085786</v>
      </c>
      <c r="I58" s="14">
        <v>159.8</v>
      </c>
      <c r="J58" s="15">
        <f t="shared" si="2"/>
        <v>610.438687973086</v>
      </c>
      <c r="K58" s="2">
        <f t="shared" si="3"/>
        <v>707.50013151012</v>
      </c>
      <c r="L58" s="16">
        <f t="shared" si="5"/>
        <v>53.062509863259</v>
      </c>
    </row>
    <row r="59" ht="23.25" spans="1:12">
      <c r="A59" s="11">
        <v>57</v>
      </c>
      <c r="B59" s="12">
        <v>1.05759162303665</v>
      </c>
      <c r="C59" s="12">
        <v>58.75</v>
      </c>
      <c r="D59" s="12">
        <f t="shared" si="0"/>
        <v>62.1335078534032</v>
      </c>
      <c r="E59" s="13">
        <v>0.534143725420093</v>
      </c>
      <c r="F59" s="13">
        <v>91.16</v>
      </c>
      <c r="G59" s="13">
        <f t="shared" si="1"/>
        <v>48.6925420092957</v>
      </c>
      <c r="H59" s="14">
        <v>3.74495261639885</v>
      </c>
      <c r="I59" s="14">
        <v>183.97</v>
      </c>
      <c r="J59" s="15">
        <f t="shared" si="2"/>
        <v>688.958932838896</v>
      </c>
      <c r="K59" s="2">
        <f t="shared" si="3"/>
        <v>799.784982701595</v>
      </c>
      <c r="L59" s="16">
        <f t="shared" si="5"/>
        <v>59.9838737026196</v>
      </c>
    </row>
    <row r="60" ht="23.25" spans="1:12">
      <c r="A60" s="11">
        <v>58</v>
      </c>
      <c r="B60" s="12">
        <v>0.812850366537301</v>
      </c>
      <c r="C60" s="12">
        <v>58.8</v>
      </c>
      <c r="D60" s="12">
        <f t="shared" si="0"/>
        <v>47.7956015523933</v>
      </c>
      <c r="E60" s="13">
        <v>0.476734693877551</v>
      </c>
      <c r="F60" s="13">
        <v>84.65</v>
      </c>
      <c r="G60" s="13">
        <f t="shared" si="1"/>
        <v>40.3555918367347</v>
      </c>
      <c r="H60" s="14">
        <v>4.46193509250834</v>
      </c>
      <c r="I60" s="14">
        <v>222.42</v>
      </c>
      <c r="J60" s="15">
        <f t="shared" si="2"/>
        <v>992.423603275705</v>
      </c>
      <c r="K60" s="2">
        <f t="shared" si="3"/>
        <v>1080.57479666483</v>
      </c>
      <c r="L60" s="16">
        <f t="shared" si="5"/>
        <v>81.0431097498625</v>
      </c>
    </row>
    <row r="61" ht="23.25" spans="1:12">
      <c r="A61" s="11">
        <v>59</v>
      </c>
      <c r="B61" s="12">
        <v>0.868652157311951</v>
      </c>
      <c r="C61" s="12">
        <v>53.56</v>
      </c>
      <c r="D61" s="12">
        <f t="shared" si="0"/>
        <v>46.5250095456281</v>
      </c>
      <c r="E61" s="13">
        <v>0.447097571016879</v>
      </c>
      <c r="F61" s="13">
        <v>75.05</v>
      </c>
      <c r="G61" s="13">
        <f t="shared" si="1"/>
        <v>33.5546727048168</v>
      </c>
      <c r="H61" s="14">
        <v>4.50521285838401</v>
      </c>
      <c r="I61" s="14">
        <v>211.93</v>
      </c>
      <c r="J61" s="15">
        <f t="shared" si="2"/>
        <v>954.789761077323</v>
      </c>
      <c r="K61" s="2">
        <f t="shared" si="3"/>
        <v>1034.86944332777</v>
      </c>
      <c r="L61" s="16">
        <f t="shared" si="5"/>
        <v>77.6152082495826</v>
      </c>
    </row>
    <row r="62" ht="23.25" spans="1:12">
      <c r="A62" s="11">
        <v>60</v>
      </c>
      <c r="B62" s="12">
        <v>0.996001454016721</v>
      </c>
      <c r="C62" s="12">
        <v>69.97</v>
      </c>
      <c r="D62" s="12">
        <f t="shared" si="0"/>
        <v>69.69022173755</v>
      </c>
      <c r="E62" s="13">
        <v>0.879951495553759</v>
      </c>
      <c r="F62" s="13">
        <v>97.03</v>
      </c>
      <c r="G62" s="13">
        <f t="shared" si="1"/>
        <v>85.3816936135812</v>
      </c>
      <c r="H62" s="14">
        <v>4.89098712446352</v>
      </c>
      <c r="I62" s="14">
        <v>232.27</v>
      </c>
      <c r="J62" s="15">
        <f t="shared" si="2"/>
        <v>1136.02957939914</v>
      </c>
      <c r="K62" s="2">
        <f t="shared" si="3"/>
        <v>1291.10149475027</v>
      </c>
      <c r="L62" s="16">
        <f t="shared" si="5"/>
        <v>96.8326121062705</v>
      </c>
    </row>
    <row r="63" ht="23.25" spans="1:12">
      <c r="A63" s="11">
        <v>61</v>
      </c>
      <c r="B63" s="12">
        <v>0.946449821499405</v>
      </c>
      <c r="C63" s="12">
        <v>61.69</v>
      </c>
      <c r="D63" s="12">
        <f t="shared" si="0"/>
        <v>58.3864894882983</v>
      </c>
      <c r="E63" s="13">
        <v>0.343053867962738</v>
      </c>
      <c r="F63" s="13">
        <v>97.58</v>
      </c>
      <c r="G63" s="13">
        <f t="shared" si="1"/>
        <v>33.475196435804</v>
      </c>
      <c r="H63" s="14">
        <v>4.42199488491049</v>
      </c>
      <c r="I63" s="14">
        <v>252.24</v>
      </c>
      <c r="J63" s="15">
        <f t="shared" si="2"/>
        <v>1115.40398976982</v>
      </c>
      <c r="K63" s="2">
        <f t="shared" si="3"/>
        <v>1207.26567569392</v>
      </c>
      <c r="L63" s="16">
        <f t="shared" si="5"/>
        <v>90.5449256770443</v>
      </c>
    </row>
    <row r="64" ht="23.25" spans="1:12">
      <c r="A64" s="11">
        <v>62</v>
      </c>
      <c r="B64" s="12">
        <v>0.645053723601334</v>
      </c>
      <c r="C64" s="12">
        <v>58.29</v>
      </c>
      <c r="D64" s="12">
        <f t="shared" si="0"/>
        <v>37.6001815487218</v>
      </c>
      <c r="E64" s="13">
        <v>0.293868921775899</v>
      </c>
      <c r="F64" s="13">
        <v>72.25</v>
      </c>
      <c r="G64" s="13">
        <f t="shared" si="1"/>
        <v>21.2320295983087</v>
      </c>
      <c r="H64" s="14">
        <v>4.13374805598756</v>
      </c>
      <c r="I64" s="14">
        <v>230.1</v>
      </c>
      <c r="J64" s="15">
        <f t="shared" si="2"/>
        <v>951.175427682738</v>
      </c>
      <c r="K64" s="2">
        <f t="shared" si="3"/>
        <v>1010.00763882977</v>
      </c>
      <c r="L64" s="16">
        <f t="shared" si="5"/>
        <v>75.7505729122326</v>
      </c>
    </row>
    <row r="65" ht="23.25" spans="1:12">
      <c r="A65" s="11">
        <v>63</v>
      </c>
      <c r="B65" s="12">
        <v>0.590861527729334</v>
      </c>
      <c r="C65" s="12">
        <v>50.49</v>
      </c>
      <c r="D65" s="12">
        <f t="shared" si="0"/>
        <v>29.8325985350541</v>
      </c>
      <c r="E65" s="13">
        <v>0.208317139525845</v>
      </c>
      <c r="F65" s="13">
        <v>59.09</v>
      </c>
      <c r="G65" s="13">
        <f t="shared" si="1"/>
        <v>12.3094597745822</v>
      </c>
      <c r="H65" s="14">
        <v>3.73498799039231</v>
      </c>
      <c r="I65" s="14">
        <v>159.94</v>
      </c>
      <c r="J65" s="15">
        <f t="shared" si="2"/>
        <v>597.373979183346</v>
      </c>
      <c r="K65" s="2">
        <f t="shared" si="3"/>
        <v>639.516037492982</v>
      </c>
      <c r="L65" s="16">
        <f t="shared" si="5"/>
        <v>47.9637028119737</v>
      </c>
    </row>
    <row r="66" ht="23.25" spans="1:12">
      <c r="A66" s="11">
        <v>64</v>
      </c>
      <c r="B66" s="12">
        <v>1.02067751869776</v>
      </c>
      <c r="C66" s="12">
        <v>50.57</v>
      </c>
      <c r="D66" s="12">
        <f t="shared" si="0"/>
        <v>51.6156621205457</v>
      </c>
      <c r="E66" s="13">
        <v>0.468205904617714</v>
      </c>
      <c r="F66" s="13">
        <v>64.9</v>
      </c>
      <c r="G66" s="13">
        <f t="shared" si="1"/>
        <v>30.3865632096896</v>
      </c>
      <c r="H66" s="14">
        <v>4.25586178527355</v>
      </c>
      <c r="I66" s="14">
        <v>204.14</v>
      </c>
      <c r="J66" s="15">
        <f t="shared" si="2"/>
        <v>868.791624845742</v>
      </c>
      <c r="K66" s="2">
        <f t="shared" si="3"/>
        <v>950.793850175978</v>
      </c>
      <c r="L66" s="16">
        <f t="shared" si="5"/>
        <v>71.3095387631983</v>
      </c>
    </row>
    <row r="67" ht="23.25" spans="1:12">
      <c r="A67" s="11">
        <v>65</v>
      </c>
      <c r="B67" s="12">
        <v>0.760909424275761</v>
      </c>
      <c r="C67" s="12">
        <v>50.49</v>
      </c>
      <c r="D67" s="12">
        <f t="shared" ref="D67:D122" si="6">B67*C67</f>
        <v>38.4183168316832</v>
      </c>
      <c r="E67" s="13">
        <v>0.380621422730989</v>
      </c>
      <c r="F67" s="13">
        <v>61.05</v>
      </c>
      <c r="G67" s="13">
        <f t="shared" ref="G67:G122" si="7">E67*F67</f>
        <v>23.2369378577269</v>
      </c>
      <c r="H67" s="14">
        <v>4.57229894394801</v>
      </c>
      <c r="I67" s="14">
        <v>195.21</v>
      </c>
      <c r="J67" s="15">
        <f t="shared" ref="J67:J122" si="8">H67*I67</f>
        <v>892.558476848091</v>
      </c>
      <c r="K67" s="2">
        <f t="shared" ref="K67:K122" si="9">D67+G67+J67</f>
        <v>954.213731537501</v>
      </c>
      <c r="L67" s="16">
        <f t="shared" si="5"/>
        <v>71.5660298653126</v>
      </c>
    </row>
    <row r="68" ht="23.25" spans="1:12">
      <c r="A68" s="11">
        <v>66</v>
      </c>
      <c r="B68" s="12">
        <v>0.923423423423424</v>
      </c>
      <c r="C68" s="12">
        <v>41.18</v>
      </c>
      <c r="D68" s="12">
        <f t="shared" si="6"/>
        <v>38.0265765765766</v>
      </c>
      <c r="E68" s="13">
        <v>0.433170334148329</v>
      </c>
      <c r="F68" s="13">
        <v>44.33</v>
      </c>
      <c r="G68" s="13">
        <f t="shared" si="7"/>
        <v>19.2024409127954</v>
      </c>
      <c r="H68" s="14">
        <v>4.1404958677686</v>
      </c>
      <c r="I68" s="14">
        <v>137.53</v>
      </c>
      <c r="J68" s="15">
        <f t="shared" si="8"/>
        <v>569.442396694216</v>
      </c>
      <c r="K68" s="2">
        <f t="shared" si="9"/>
        <v>626.671414183588</v>
      </c>
      <c r="L68" s="16">
        <f t="shared" ref="L68:L99" si="10">K68*75000*0.001*0.001</f>
        <v>47.0003560637691</v>
      </c>
    </row>
    <row r="69" ht="23.25" spans="1:12">
      <c r="A69" s="11">
        <v>67</v>
      </c>
      <c r="B69" s="12">
        <v>0.976031957390147</v>
      </c>
      <c r="C69" s="12">
        <v>44.69</v>
      </c>
      <c r="D69" s="12">
        <f t="shared" si="6"/>
        <v>43.6188681757657</v>
      </c>
      <c r="E69" s="13">
        <v>0.451651893634166</v>
      </c>
      <c r="F69" s="13">
        <v>43.42</v>
      </c>
      <c r="G69" s="13">
        <f t="shared" si="7"/>
        <v>19.6107252215955</v>
      </c>
      <c r="H69" s="14">
        <v>3.86989409984871</v>
      </c>
      <c r="I69" s="14">
        <v>146.15</v>
      </c>
      <c r="J69" s="15">
        <f t="shared" si="8"/>
        <v>565.585022692889</v>
      </c>
      <c r="K69" s="2">
        <f t="shared" si="9"/>
        <v>628.81461609025</v>
      </c>
      <c r="L69" s="16">
        <f t="shared" si="10"/>
        <v>47.1610962067688</v>
      </c>
    </row>
    <row r="70" ht="23.25" spans="1:12">
      <c r="A70" s="11">
        <v>68</v>
      </c>
      <c r="B70" s="12">
        <v>0.974183750949127</v>
      </c>
      <c r="C70" s="12">
        <v>72.46</v>
      </c>
      <c r="D70" s="12">
        <f t="shared" si="6"/>
        <v>70.5893545937737</v>
      </c>
      <c r="E70" s="13">
        <v>1.08624068992552</v>
      </c>
      <c r="F70" s="13">
        <v>97.38</v>
      </c>
      <c r="G70" s="13">
        <f t="shared" si="7"/>
        <v>105.778118384947</v>
      </c>
      <c r="H70" s="14">
        <v>5.33026960784314</v>
      </c>
      <c r="I70" s="14">
        <v>234.43</v>
      </c>
      <c r="J70" s="15">
        <f t="shared" si="8"/>
        <v>1249.57510416667</v>
      </c>
      <c r="K70" s="2">
        <f t="shared" si="9"/>
        <v>1425.94257714539</v>
      </c>
      <c r="L70" s="16">
        <f t="shared" si="10"/>
        <v>106.945693285904</v>
      </c>
    </row>
    <row r="71" ht="23.25" spans="1:12">
      <c r="A71" s="11">
        <v>69</v>
      </c>
      <c r="B71" s="12">
        <v>1.05606728073688</v>
      </c>
      <c r="C71" s="12">
        <v>71.09</v>
      </c>
      <c r="D71" s="12">
        <f t="shared" si="6"/>
        <v>75.0758229875848</v>
      </c>
      <c r="E71" s="13">
        <v>0.592424866200082</v>
      </c>
      <c r="F71" s="13">
        <v>96.09</v>
      </c>
      <c r="G71" s="13">
        <f t="shared" si="7"/>
        <v>56.9261053931659</v>
      </c>
      <c r="H71" s="14">
        <v>4.9823677581864</v>
      </c>
      <c r="I71" s="14">
        <v>227.2</v>
      </c>
      <c r="J71" s="15">
        <f t="shared" si="8"/>
        <v>1131.99395465995</v>
      </c>
      <c r="K71" s="2">
        <f t="shared" si="9"/>
        <v>1263.9958830407</v>
      </c>
      <c r="L71" s="16">
        <f t="shared" si="10"/>
        <v>94.7996912280526</v>
      </c>
    </row>
    <row r="72" ht="23.25" spans="1:12">
      <c r="A72" s="11">
        <v>70</v>
      </c>
      <c r="B72" s="12">
        <v>1.24604051565378</v>
      </c>
      <c r="C72" s="12">
        <v>49.25</v>
      </c>
      <c r="D72" s="12">
        <f t="shared" si="6"/>
        <v>61.3674953959487</v>
      </c>
      <c r="E72" s="13">
        <v>1.04746044962531</v>
      </c>
      <c r="F72" s="13">
        <v>64.97</v>
      </c>
      <c r="G72" s="13">
        <f t="shared" si="7"/>
        <v>68.0535054121564</v>
      </c>
      <c r="H72" s="14">
        <v>4.67610467610468</v>
      </c>
      <c r="I72" s="14">
        <v>181.45</v>
      </c>
      <c r="J72" s="15">
        <f t="shared" si="8"/>
        <v>848.479193479194</v>
      </c>
      <c r="K72" s="2">
        <f t="shared" si="9"/>
        <v>977.900194287299</v>
      </c>
      <c r="L72" s="16">
        <f t="shared" si="10"/>
        <v>73.3425145715475</v>
      </c>
    </row>
    <row r="73" ht="23.25" spans="1:12">
      <c r="A73" s="11">
        <v>71</v>
      </c>
      <c r="B73" s="12">
        <v>1.34098228663446</v>
      </c>
      <c r="C73" s="12">
        <v>51.17</v>
      </c>
      <c r="D73" s="12">
        <f t="shared" si="6"/>
        <v>68.6180636070853</v>
      </c>
      <c r="E73" s="13">
        <v>1.24001507159005</v>
      </c>
      <c r="F73" s="13">
        <v>67.91</v>
      </c>
      <c r="G73" s="13">
        <f t="shared" si="7"/>
        <v>84.2094235116803</v>
      </c>
      <c r="H73" s="14">
        <v>4.57835531419705</v>
      </c>
      <c r="I73" s="14">
        <v>206.52</v>
      </c>
      <c r="J73" s="15">
        <f t="shared" si="8"/>
        <v>945.521939487975</v>
      </c>
      <c r="K73" s="2">
        <f t="shared" si="9"/>
        <v>1098.34942660674</v>
      </c>
      <c r="L73" s="16">
        <f t="shared" si="10"/>
        <v>82.3762069955056</v>
      </c>
    </row>
    <row r="74" ht="23.25" spans="1:12">
      <c r="A74" s="11">
        <v>72</v>
      </c>
      <c r="B74" s="12">
        <v>1.29573170731707</v>
      </c>
      <c r="C74" s="12">
        <v>53.67</v>
      </c>
      <c r="D74" s="12">
        <f t="shared" si="6"/>
        <v>69.5419207317072</v>
      </c>
      <c r="E74" s="13">
        <v>1.23419286471212</v>
      </c>
      <c r="F74" s="13">
        <v>68.74</v>
      </c>
      <c r="G74" s="13">
        <f t="shared" si="7"/>
        <v>84.8384175203111</v>
      </c>
      <c r="H74" s="14">
        <v>4.19179600886918</v>
      </c>
      <c r="I74" s="14">
        <v>213.97</v>
      </c>
      <c r="J74" s="15">
        <f t="shared" si="8"/>
        <v>896.918592017738</v>
      </c>
      <c r="K74" s="2">
        <f t="shared" si="9"/>
        <v>1051.29893026976</v>
      </c>
      <c r="L74" s="16">
        <f t="shared" si="10"/>
        <v>78.8474197702318</v>
      </c>
    </row>
    <row r="75" ht="23.25" spans="1:12">
      <c r="A75" s="11">
        <v>73</v>
      </c>
      <c r="B75" s="12">
        <v>1.29293708992667</v>
      </c>
      <c r="C75" s="12">
        <v>31.88</v>
      </c>
      <c r="D75" s="12">
        <f t="shared" si="6"/>
        <v>41.2188344268622</v>
      </c>
      <c r="E75" s="13">
        <v>0.426375404530744</v>
      </c>
      <c r="F75" s="13">
        <v>50.88</v>
      </c>
      <c r="G75" s="13">
        <f t="shared" si="7"/>
        <v>21.6939805825243</v>
      </c>
      <c r="H75" s="14">
        <v>4.11542991755006</v>
      </c>
      <c r="I75" s="14">
        <v>181.75</v>
      </c>
      <c r="J75" s="15">
        <f t="shared" si="8"/>
        <v>747.979387514723</v>
      </c>
      <c r="K75" s="2">
        <f t="shared" si="9"/>
        <v>810.89220252411</v>
      </c>
      <c r="L75" s="16">
        <f t="shared" si="10"/>
        <v>60.8169151893082</v>
      </c>
    </row>
    <row r="76" ht="23.25" spans="1:12">
      <c r="A76" s="11">
        <v>74</v>
      </c>
      <c r="B76" s="12">
        <v>1.64369205965337</v>
      </c>
      <c r="C76" s="12">
        <v>36.86</v>
      </c>
      <c r="D76" s="12">
        <f t="shared" si="6"/>
        <v>60.5864893188232</v>
      </c>
      <c r="E76" s="13">
        <v>1.05665127989929</v>
      </c>
      <c r="F76" s="13">
        <v>53.82</v>
      </c>
      <c r="G76" s="13">
        <f t="shared" si="7"/>
        <v>56.8689718841798</v>
      </c>
      <c r="H76" s="14">
        <v>4.19793887704335</v>
      </c>
      <c r="I76" s="14">
        <v>160.03</v>
      </c>
      <c r="J76" s="15">
        <f t="shared" si="8"/>
        <v>671.796158493247</v>
      </c>
      <c r="K76" s="2">
        <f t="shared" si="9"/>
        <v>789.25161969625</v>
      </c>
      <c r="L76" s="16">
        <f t="shared" si="10"/>
        <v>59.1938714772188</v>
      </c>
    </row>
    <row r="77" ht="23.25" spans="1:12">
      <c r="A77" s="11">
        <v>75</v>
      </c>
      <c r="B77" s="12">
        <v>0.924307452204448</v>
      </c>
      <c r="C77" s="12">
        <v>47.73</v>
      </c>
      <c r="D77" s="12">
        <f t="shared" si="6"/>
        <v>44.1171946937183</v>
      </c>
      <c r="E77" s="13">
        <v>0.401684210526316</v>
      </c>
      <c r="F77" s="13">
        <v>71.78</v>
      </c>
      <c r="G77" s="13">
        <f t="shared" si="7"/>
        <v>28.832892631579</v>
      </c>
      <c r="H77" s="14">
        <v>4.37514518002323</v>
      </c>
      <c r="I77" s="14">
        <v>196.57</v>
      </c>
      <c r="J77" s="15">
        <f t="shared" si="8"/>
        <v>860.022288037166</v>
      </c>
      <c r="K77" s="2">
        <f t="shared" si="9"/>
        <v>932.972375362463</v>
      </c>
      <c r="L77" s="16">
        <f t="shared" si="10"/>
        <v>69.9729281521848</v>
      </c>
    </row>
    <row r="78" ht="23.25" spans="1:12">
      <c r="A78" s="11">
        <v>76</v>
      </c>
      <c r="B78" s="12">
        <v>0.663774403470716</v>
      </c>
      <c r="C78" s="12">
        <v>52.22</v>
      </c>
      <c r="D78" s="12">
        <f t="shared" si="6"/>
        <v>34.6622993492408</v>
      </c>
      <c r="E78" s="13">
        <v>0.252463054187192</v>
      </c>
      <c r="F78" s="13">
        <v>60.23</v>
      </c>
      <c r="G78" s="13">
        <f t="shared" si="7"/>
        <v>15.2058497536946</v>
      </c>
      <c r="H78" s="14">
        <v>3.6677445432498</v>
      </c>
      <c r="I78" s="14">
        <v>178.05</v>
      </c>
      <c r="J78" s="15">
        <f t="shared" si="8"/>
        <v>653.041915925627</v>
      </c>
      <c r="K78" s="2">
        <f t="shared" si="9"/>
        <v>702.910065028562</v>
      </c>
      <c r="L78" s="16">
        <f t="shared" si="10"/>
        <v>52.7182548771422</v>
      </c>
    </row>
    <row r="79" ht="23.25" spans="1:12">
      <c r="A79" s="11">
        <v>77</v>
      </c>
      <c r="B79" s="12">
        <v>0.767531556802244</v>
      </c>
      <c r="C79" s="12">
        <v>31.44</v>
      </c>
      <c r="D79" s="12">
        <f t="shared" si="6"/>
        <v>24.1311921458626</v>
      </c>
      <c r="E79" s="13">
        <v>0.257931602801813</v>
      </c>
      <c r="F79" s="13">
        <v>63.82</v>
      </c>
      <c r="G79" s="13">
        <f t="shared" si="7"/>
        <v>16.4611948908117</v>
      </c>
      <c r="H79" s="14">
        <v>3.44228432563791</v>
      </c>
      <c r="I79" s="14">
        <v>181.75</v>
      </c>
      <c r="J79" s="15">
        <f t="shared" si="8"/>
        <v>625.63517618469</v>
      </c>
      <c r="K79" s="2">
        <f t="shared" si="9"/>
        <v>666.227563221364</v>
      </c>
      <c r="L79" s="16">
        <f t="shared" si="10"/>
        <v>49.9670672416023</v>
      </c>
    </row>
    <row r="80" ht="23.25" spans="1:12">
      <c r="A80" s="11">
        <v>78</v>
      </c>
      <c r="B80" s="12">
        <v>1.70134408602151</v>
      </c>
      <c r="C80" s="12">
        <v>48.95</v>
      </c>
      <c r="D80" s="12">
        <f t="shared" si="6"/>
        <v>83.2807930107529</v>
      </c>
      <c r="E80" s="13">
        <v>1.23444790046656</v>
      </c>
      <c r="F80" s="13">
        <v>62.83</v>
      </c>
      <c r="G80" s="13">
        <f t="shared" si="7"/>
        <v>77.560361586314</v>
      </c>
      <c r="H80" s="14">
        <v>4.11376994122586</v>
      </c>
      <c r="I80" s="14">
        <v>192.97</v>
      </c>
      <c r="J80" s="15">
        <f t="shared" si="8"/>
        <v>793.834185558354</v>
      </c>
      <c r="K80" s="2">
        <f t="shared" si="9"/>
        <v>954.675340155421</v>
      </c>
      <c r="L80" s="16">
        <f t="shared" si="10"/>
        <v>71.6006505116566</v>
      </c>
    </row>
    <row r="81" ht="23.25" spans="1:12">
      <c r="A81" s="11">
        <v>79</v>
      </c>
      <c r="B81" s="12">
        <v>1.33782679738562</v>
      </c>
      <c r="C81" s="12">
        <v>35.15</v>
      </c>
      <c r="D81" s="12">
        <f t="shared" si="6"/>
        <v>47.0246119281045</v>
      </c>
      <c r="E81" s="13">
        <v>0.564342199856219</v>
      </c>
      <c r="F81" s="13">
        <v>42.88</v>
      </c>
      <c r="G81" s="13">
        <f t="shared" si="7"/>
        <v>24.1989935298347</v>
      </c>
      <c r="H81" s="14">
        <v>3.96645109135004</v>
      </c>
      <c r="I81" s="14">
        <v>146.32</v>
      </c>
      <c r="J81" s="15">
        <f t="shared" si="8"/>
        <v>580.371123686338</v>
      </c>
      <c r="K81" s="2">
        <f t="shared" si="9"/>
        <v>651.594729144277</v>
      </c>
      <c r="L81" s="16">
        <f t="shared" si="10"/>
        <v>48.8696046858208</v>
      </c>
    </row>
    <row r="82" ht="23.25" spans="1:12">
      <c r="A82" s="11">
        <v>80</v>
      </c>
      <c r="B82" s="12">
        <v>1.43093093093093</v>
      </c>
      <c r="C82" s="12">
        <v>44.42</v>
      </c>
      <c r="D82" s="12">
        <f t="shared" si="6"/>
        <v>63.5619519519519</v>
      </c>
      <c r="E82" s="13">
        <v>0.817456986991188</v>
      </c>
      <c r="F82" s="13">
        <v>52.63</v>
      </c>
      <c r="G82" s="13">
        <f t="shared" si="7"/>
        <v>43.0227612253462</v>
      </c>
      <c r="H82" s="14">
        <v>4.3621858795373</v>
      </c>
      <c r="I82" s="14">
        <v>166.99</v>
      </c>
      <c r="J82" s="15">
        <f t="shared" si="8"/>
        <v>728.441420023934</v>
      </c>
      <c r="K82" s="2">
        <f t="shared" si="9"/>
        <v>835.026133201232</v>
      </c>
      <c r="L82" s="16">
        <f t="shared" si="10"/>
        <v>62.6269599900924</v>
      </c>
    </row>
    <row r="83" ht="23.25" spans="1:12">
      <c r="A83" s="11">
        <v>81</v>
      </c>
      <c r="B83" s="12">
        <v>0.709686946249262</v>
      </c>
      <c r="C83" s="12">
        <v>51.18</v>
      </c>
      <c r="D83" s="12">
        <f t="shared" si="6"/>
        <v>36.3217779090372</v>
      </c>
      <c r="E83" s="13">
        <v>0.252318392581144</v>
      </c>
      <c r="F83" s="13">
        <v>70.51</v>
      </c>
      <c r="G83" s="13">
        <f t="shared" si="7"/>
        <v>17.7909698608965</v>
      </c>
      <c r="H83" s="14">
        <v>4.80345394736842</v>
      </c>
      <c r="I83" s="14">
        <v>213.27</v>
      </c>
      <c r="J83" s="15">
        <f t="shared" si="8"/>
        <v>1024.43262335526</v>
      </c>
      <c r="K83" s="2">
        <f t="shared" si="9"/>
        <v>1078.5453711252</v>
      </c>
      <c r="L83" s="16">
        <f t="shared" si="10"/>
        <v>80.8909028343898</v>
      </c>
    </row>
    <row r="84" ht="23.25" spans="1:12">
      <c r="A84" s="11">
        <v>82</v>
      </c>
      <c r="B84" s="12">
        <v>0.799553322166387</v>
      </c>
      <c r="C84" s="12">
        <v>48.78</v>
      </c>
      <c r="D84" s="12">
        <f t="shared" si="6"/>
        <v>39.0022110552764</v>
      </c>
      <c r="E84" s="13">
        <v>0.452054794520548</v>
      </c>
      <c r="F84" s="13">
        <v>88.32</v>
      </c>
      <c r="G84" s="13">
        <f t="shared" si="7"/>
        <v>39.9254794520548</v>
      </c>
      <c r="H84" s="14">
        <v>4.78219118288957</v>
      </c>
      <c r="I84" s="14">
        <v>233.33</v>
      </c>
      <c r="J84" s="15">
        <f t="shared" si="8"/>
        <v>1115.82866870362</v>
      </c>
      <c r="K84" s="2">
        <f t="shared" si="9"/>
        <v>1194.75635921095</v>
      </c>
      <c r="L84" s="16">
        <f t="shared" si="10"/>
        <v>89.6067269408216</v>
      </c>
    </row>
    <row r="85" ht="23.25" spans="1:12">
      <c r="A85" s="11">
        <v>83</v>
      </c>
      <c r="B85" s="12">
        <v>1.06736111111111</v>
      </c>
      <c r="C85" s="12">
        <v>53.73</v>
      </c>
      <c r="D85" s="12">
        <f t="shared" si="6"/>
        <v>57.3493124999999</v>
      </c>
      <c r="E85" s="13">
        <v>0.994009216589862</v>
      </c>
      <c r="F85" s="13">
        <v>76.08</v>
      </c>
      <c r="G85" s="13">
        <f t="shared" si="7"/>
        <v>75.6242211981567</v>
      </c>
      <c r="H85" s="14">
        <v>4.25503907856849</v>
      </c>
      <c r="I85" s="14">
        <v>233.17</v>
      </c>
      <c r="J85" s="15">
        <f t="shared" si="8"/>
        <v>992.147461949815</v>
      </c>
      <c r="K85" s="2">
        <f t="shared" si="9"/>
        <v>1125.12099564797</v>
      </c>
      <c r="L85" s="16">
        <f t="shared" si="10"/>
        <v>84.3840746735979</v>
      </c>
    </row>
    <row r="86" ht="23.25" spans="1:12">
      <c r="A86" s="11">
        <v>84</v>
      </c>
      <c r="B86" s="12">
        <v>0.933333333333333</v>
      </c>
      <c r="C86" s="12">
        <v>61.57</v>
      </c>
      <c r="D86" s="12">
        <f t="shared" si="6"/>
        <v>57.4653333333333</v>
      </c>
      <c r="E86" s="13">
        <v>0.409439754412893</v>
      </c>
      <c r="F86" s="13">
        <v>76.99</v>
      </c>
      <c r="G86" s="13">
        <f t="shared" si="7"/>
        <v>31.5227666922486</v>
      </c>
      <c r="H86" s="14">
        <v>4.09278785322649</v>
      </c>
      <c r="I86" s="14">
        <v>241.11</v>
      </c>
      <c r="J86" s="15">
        <f t="shared" si="8"/>
        <v>986.812079291439</v>
      </c>
      <c r="K86" s="2">
        <f t="shared" si="9"/>
        <v>1075.80017931702</v>
      </c>
      <c r="L86" s="16">
        <f t="shared" si="10"/>
        <v>80.6850134487766</v>
      </c>
    </row>
    <row r="87" ht="23.25" spans="1:12">
      <c r="A87" s="11">
        <v>85</v>
      </c>
      <c r="B87" s="12">
        <v>1.59937347720153</v>
      </c>
      <c r="C87" s="12">
        <v>41.36</v>
      </c>
      <c r="D87" s="12">
        <f t="shared" si="6"/>
        <v>66.1500870170553</v>
      </c>
      <c r="E87" s="13">
        <v>1.4029197080292</v>
      </c>
      <c r="F87" s="13">
        <v>45</v>
      </c>
      <c r="G87" s="13">
        <f t="shared" si="7"/>
        <v>63.131386861314</v>
      </c>
      <c r="H87" s="14">
        <v>3.72301740812379</v>
      </c>
      <c r="I87" s="14">
        <v>143.75</v>
      </c>
      <c r="J87" s="15">
        <f t="shared" si="8"/>
        <v>535.183752417795</v>
      </c>
      <c r="K87" s="2">
        <f t="shared" si="9"/>
        <v>664.465226296164</v>
      </c>
      <c r="L87" s="16">
        <f t="shared" si="10"/>
        <v>49.8348919722123</v>
      </c>
    </row>
    <row r="88" ht="23.25" spans="1:12">
      <c r="A88" s="11">
        <v>86</v>
      </c>
      <c r="B88" s="12">
        <v>1.54927726675427</v>
      </c>
      <c r="C88" s="12">
        <v>42.81</v>
      </c>
      <c r="D88" s="12">
        <f t="shared" si="6"/>
        <v>66.3245597897503</v>
      </c>
      <c r="E88" s="13">
        <v>3.02523402523403</v>
      </c>
      <c r="F88" s="13">
        <v>44.99</v>
      </c>
      <c r="G88" s="13">
        <f t="shared" si="7"/>
        <v>136.105278795279</v>
      </c>
      <c r="H88" s="14">
        <v>4.4421875</v>
      </c>
      <c r="I88" s="14">
        <v>137.02</v>
      </c>
      <c r="J88" s="15">
        <f t="shared" si="8"/>
        <v>608.66853125</v>
      </c>
      <c r="K88" s="2">
        <f t="shared" si="9"/>
        <v>811.098369835029</v>
      </c>
      <c r="L88" s="16">
        <f t="shared" si="10"/>
        <v>60.8323777376272</v>
      </c>
    </row>
    <row r="89" ht="23.25" spans="1:12">
      <c r="A89" s="11">
        <v>87</v>
      </c>
      <c r="B89" s="12">
        <v>0.806487695749441</v>
      </c>
      <c r="C89" s="12">
        <v>51.67</v>
      </c>
      <c r="D89" s="12">
        <f t="shared" si="6"/>
        <v>41.6712192393736</v>
      </c>
      <c r="E89" s="13">
        <v>0.371465713357166</v>
      </c>
      <c r="F89" s="13">
        <v>66.04</v>
      </c>
      <c r="G89" s="13">
        <f t="shared" si="7"/>
        <v>24.5315957101072</v>
      </c>
      <c r="H89" s="14">
        <v>4.36986863711002</v>
      </c>
      <c r="I89" s="14">
        <v>234.92</v>
      </c>
      <c r="J89" s="15">
        <f t="shared" si="8"/>
        <v>1026.56954022989</v>
      </c>
      <c r="K89" s="2">
        <f t="shared" si="9"/>
        <v>1092.77235517937</v>
      </c>
      <c r="L89" s="16">
        <f t="shared" si="10"/>
        <v>81.9579266384525</v>
      </c>
    </row>
    <row r="90" ht="23.25" spans="1:12">
      <c r="A90" s="11">
        <v>88</v>
      </c>
      <c r="B90" s="12">
        <v>1.15793747462444</v>
      </c>
      <c r="C90" s="12">
        <v>43.68</v>
      </c>
      <c r="D90" s="12">
        <f t="shared" si="6"/>
        <v>50.5787088915955</v>
      </c>
      <c r="E90" s="13">
        <v>0.63615472998851</v>
      </c>
      <c r="F90" s="13">
        <v>44.42</v>
      </c>
      <c r="G90" s="13">
        <f t="shared" si="7"/>
        <v>28.2579931060896</v>
      </c>
      <c r="H90" s="14">
        <v>3.91365777080063</v>
      </c>
      <c r="I90" s="14">
        <v>188.12</v>
      </c>
      <c r="J90" s="15">
        <f t="shared" si="8"/>
        <v>736.237299843015</v>
      </c>
      <c r="K90" s="2">
        <f t="shared" si="9"/>
        <v>815.0740018407</v>
      </c>
      <c r="L90" s="16">
        <f t="shared" si="10"/>
        <v>61.1305501380525</v>
      </c>
    </row>
    <row r="91" ht="23.25" spans="1:12">
      <c r="A91" s="11">
        <v>89</v>
      </c>
      <c r="B91" s="12">
        <v>0.729585798816568</v>
      </c>
      <c r="C91" s="12">
        <v>43.46</v>
      </c>
      <c r="D91" s="12">
        <f t="shared" si="6"/>
        <v>31.707798816568</v>
      </c>
      <c r="E91" s="13">
        <v>0.227219397731717</v>
      </c>
      <c r="F91" s="13">
        <v>55.92</v>
      </c>
      <c r="G91" s="13">
        <f t="shared" si="7"/>
        <v>12.7061087211576</v>
      </c>
      <c r="H91" s="14">
        <v>3.77467174925879</v>
      </c>
      <c r="I91" s="14">
        <v>189.79</v>
      </c>
      <c r="J91" s="15">
        <f t="shared" si="8"/>
        <v>716.394951291826</v>
      </c>
      <c r="K91" s="2">
        <f t="shared" si="9"/>
        <v>760.808858829551</v>
      </c>
      <c r="L91" s="16">
        <f t="shared" si="10"/>
        <v>57.0606644122163</v>
      </c>
    </row>
    <row r="92" ht="23.25" spans="1:12">
      <c r="A92" s="11">
        <v>90</v>
      </c>
      <c r="B92" s="12">
        <v>1.00356576862124</v>
      </c>
      <c r="C92" s="12">
        <v>44.57</v>
      </c>
      <c r="D92" s="12">
        <f t="shared" si="6"/>
        <v>44.7289263074487</v>
      </c>
      <c r="E92" s="13">
        <v>0.416382252559727</v>
      </c>
      <c r="F92" s="13">
        <v>76.66</v>
      </c>
      <c r="G92" s="13">
        <f t="shared" si="7"/>
        <v>31.9198634812287</v>
      </c>
      <c r="H92" s="14">
        <v>4.11696992202005</v>
      </c>
      <c r="I92" s="14">
        <v>218.77</v>
      </c>
      <c r="J92" s="15">
        <f t="shared" si="8"/>
        <v>900.669509840326</v>
      </c>
      <c r="K92" s="2">
        <f t="shared" si="9"/>
        <v>977.318299629004</v>
      </c>
      <c r="L92" s="16">
        <f t="shared" si="10"/>
        <v>73.2988724721753</v>
      </c>
    </row>
    <row r="93" ht="23.25" spans="1:12">
      <c r="A93" s="11">
        <v>91</v>
      </c>
      <c r="B93" s="12">
        <v>0.664544875875239</v>
      </c>
      <c r="C93" s="12">
        <v>47.24</v>
      </c>
      <c r="D93" s="12">
        <f t="shared" si="6"/>
        <v>31.3930999363463</v>
      </c>
      <c r="E93" s="13">
        <v>0.40244434744653</v>
      </c>
      <c r="F93" s="13">
        <v>78.21</v>
      </c>
      <c r="G93" s="13">
        <f t="shared" si="7"/>
        <v>31.4751724137931</v>
      </c>
      <c r="H93" s="14">
        <v>4.11804008908686</v>
      </c>
      <c r="I93" s="14">
        <v>202.51</v>
      </c>
      <c r="J93" s="15">
        <f t="shared" si="8"/>
        <v>833.94429844098</v>
      </c>
      <c r="K93" s="2">
        <f t="shared" si="9"/>
        <v>896.812570791119</v>
      </c>
      <c r="L93" s="16">
        <f t="shared" si="10"/>
        <v>67.260942809334</v>
      </c>
    </row>
    <row r="94" ht="23.25" spans="1:12">
      <c r="A94" s="11">
        <v>92</v>
      </c>
      <c r="B94" s="12">
        <v>0.784615384615385</v>
      </c>
      <c r="C94" s="12">
        <v>50.74</v>
      </c>
      <c r="D94" s="12">
        <f t="shared" si="6"/>
        <v>39.8113846153846</v>
      </c>
      <c r="E94" s="13">
        <v>0.335384615384615</v>
      </c>
      <c r="F94" s="13">
        <v>100.16</v>
      </c>
      <c r="G94" s="13">
        <f t="shared" si="7"/>
        <v>33.592123076923</v>
      </c>
      <c r="H94" s="14">
        <v>4.71452145214522</v>
      </c>
      <c r="I94" s="14">
        <v>237.04</v>
      </c>
      <c r="J94" s="15">
        <f t="shared" si="8"/>
        <v>1117.5301650165</v>
      </c>
      <c r="K94" s="2">
        <f t="shared" si="9"/>
        <v>1190.93367270881</v>
      </c>
      <c r="L94" s="16">
        <f t="shared" si="10"/>
        <v>89.3200254531608</v>
      </c>
    </row>
    <row r="95" ht="23.25" spans="1:12">
      <c r="A95" s="11">
        <v>93</v>
      </c>
      <c r="B95" s="12">
        <v>0.746726524504302</v>
      </c>
      <c r="C95" s="12">
        <v>48.66</v>
      </c>
      <c r="D95" s="12">
        <f t="shared" si="6"/>
        <v>36.3357126823793</v>
      </c>
      <c r="E95" s="13">
        <v>0.428633405639913</v>
      </c>
      <c r="F95" s="13">
        <v>83.5</v>
      </c>
      <c r="G95" s="13">
        <f t="shared" si="7"/>
        <v>35.7908893709327</v>
      </c>
      <c r="H95" s="14">
        <v>4.60648518815052</v>
      </c>
      <c r="I95" s="14">
        <v>225.4</v>
      </c>
      <c r="J95" s="15">
        <f t="shared" si="8"/>
        <v>1038.30176140913</v>
      </c>
      <c r="K95" s="2">
        <f t="shared" si="9"/>
        <v>1110.42836346244</v>
      </c>
      <c r="L95" s="16">
        <f t="shared" si="10"/>
        <v>83.282127259683</v>
      </c>
    </row>
    <row r="96" ht="23.25" spans="1:12">
      <c r="A96" s="11">
        <v>94</v>
      </c>
      <c r="B96" s="12">
        <v>0.704093567251462</v>
      </c>
      <c r="C96" s="12">
        <v>56.97</v>
      </c>
      <c r="D96" s="12">
        <f t="shared" si="6"/>
        <v>40.1122105263158</v>
      </c>
      <c r="E96" s="13">
        <v>0.238075990299111</v>
      </c>
      <c r="F96" s="13">
        <v>77.7</v>
      </c>
      <c r="G96" s="13">
        <f t="shared" si="7"/>
        <v>18.4985044462409</v>
      </c>
      <c r="H96" s="14">
        <v>3.94163424124514</v>
      </c>
      <c r="I96" s="14">
        <v>221.78</v>
      </c>
      <c r="J96" s="15">
        <f t="shared" si="8"/>
        <v>874.175642023347</v>
      </c>
      <c r="K96" s="2">
        <f t="shared" si="9"/>
        <v>932.786356995904</v>
      </c>
      <c r="L96" s="16">
        <f t="shared" si="10"/>
        <v>69.9589767746928</v>
      </c>
    </row>
    <row r="97" ht="23.25" spans="1:12">
      <c r="A97" s="11">
        <v>95</v>
      </c>
      <c r="B97" s="12">
        <v>0.668145161290323</v>
      </c>
      <c r="C97" s="12">
        <v>52.09</v>
      </c>
      <c r="D97" s="12">
        <f t="shared" si="6"/>
        <v>34.8036814516129</v>
      </c>
      <c r="E97" s="13">
        <v>0.227065172270652</v>
      </c>
      <c r="F97" s="13">
        <v>60.8</v>
      </c>
      <c r="G97" s="13">
        <f t="shared" si="7"/>
        <v>13.8055624740556</v>
      </c>
      <c r="H97" s="14">
        <v>3.70192738682205</v>
      </c>
      <c r="I97" s="14">
        <v>198.58</v>
      </c>
      <c r="J97" s="15">
        <f t="shared" si="8"/>
        <v>735.128740475123</v>
      </c>
      <c r="K97" s="2">
        <f t="shared" si="9"/>
        <v>783.737984400791</v>
      </c>
      <c r="L97" s="16">
        <f t="shared" si="10"/>
        <v>58.7803488300594</v>
      </c>
    </row>
    <row r="98" ht="23.25" spans="1:12">
      <c r="A98" s="11">
        <v>96</v>
      </c>
      <c r="B98" s="12">
        <v>0.979272113762352</v>
      </c>
      <c r="C98" s="12">
        <v>56.79</v>
      </c>
      <c r="D98" s="12">
        <f t="shared" si="6"/>
        <v>55.612863340564</v>
      </c>
      <c r="E98" s="13">
        <v>0.570812365204889</v>
      </c>
      <c r="F98" s="13">
        <v>72.16</v>
      </c>
      <c r="G98" s="13">
        <f t="shared" si="7"/>
        <v>41.1898202731848</v>
      </c>
      <c r="H98" s="14">
        <v>4.4415715245131</v>
      </c>
      <c r="I98" s="14">
        <v>222.06</v>
      </c>
      <c r="J98" s="15">
        <f t="shared" si="8"/>
        <v>986.295372733379</v>
      </c>
      <c r="K98" s="2">
        <f t="shared" si="9"/>
        <v>1083.09805634713</v>
      </c>
      <c r="L98" s="16">
        <f t="shared" si="10"/>
        <v>81.2323542260346</v>
      </c>
    </row>
    <row r="99" ht="23.25" spans="1:12">
      <c r="A99" s="11">
        <v>97</v>
      </c>
      <c r="B99" s="12">
        <v>0.648222940226171</v>
      </c>
      <c r="C99" s="12">
        <v>45.84</v>
      </c>
      <c r="D99" s="12">
        <f t="shared" si="6"/>
        <v>29.7145395799677</v>
      </c>
      <c r="E99" s="13">
        <v>0.238688252386883</v>
      </c>
      <c r="F99" s="13">
        <v>75.14</v>
      </c>
      <c r="G99" s="13">
        <f t="shared" si="7"/>
        <v>17.9350352843504</v>
      </c>
      <c r="H99" s="14">
        <v>3.76681034482759</v>
      </c>
      <c r="I99" s="14">
        <v>217.95</v>
      </c>
      <c r="J99" s="15">
        <f t="shared" si="8"/>
        <v>820.976314655173</v>
      </c>
      <c r="K99" s="2">
        <f t="shared" si="9"/>
        <v>868.625889519491</v>
      </c>
      <c r="L99" s="16">
        <f t="shared" si="10"/>
        <v>65.1469417139618</v>
      </c>
    </row>
    <row r="100" ht="23.25" spans="1:12">
      <c r="A100" s="11">
        <v>98</v>
      </c>
      <c r="B100" s="12">
        <v>1.29754253308129</v>
      </c>
      <c r="C100" s="12">
        <v>44.59</v>
      </c>
      <c r="D100" s="12">
        <f t="shared" si="6"/>
        <v>57.8574215500947</v>
      </c>
      <c r="E100" s="13">
        <v>1.00655358519661</v>
      </c>
      <c r="F100" s="13">
        <v>44.8</v>
      </c>
      <c r="G100" s="13">
        <f t="shared" si="7"/>
        <v>45.0936006168081</v>
      </c>
      <c r="H100" s="14">
        <v>4.30976013234078</v>
      </c>
      <c r="I100" s="14">
        <v>194.66</v>
      </c>
      <c r="J100" s="15">
        <f t="shared" si="8"/>
        <v>838.937907361456</v>
      </c>
      <c r="K100" s="2">
        <f t="shared" si="9"/>
        <v>941.888929528359</v>
      </c>
      <c r="L100" s="16">
        <f t="shared" ref="L100:L122" si="11">K100*75000*0.001*0.001</f>
        <v>70.6416697146269</v>
      </c>
    </row>
    <row r="101" ht="23.25" spans="1:12">
      <c r="A101" s="11">
        <v>99</v>
      </c>
      <c r="B101" s="12">
        <v>1.19327433628319</v>
      </c>
      <c r="C101" s="12">
        <v>51.55</v>
      </c>
      <c r="D101" s="12">
        <f t="shared" si="6"/>
        <v>61.5132920353984</v>
      </c>
      <c r="E101" s="13">
        <v>1.20974076983504</v>
      </c>
      <c r="F101" s="13">
        <v>86.59</v>
      </c>
      <c r="G101" s="13">
        <f t="shared" si="7"/>
        <v>104.751453260016</v>
      </c>
      <c r="H101" s="14">
        <v>4.38510638297872</v>
      </c>
      <c r="I101" s="14">
        <v>235.43</v>
      </c>
      <c r="J101" s="15">
        <f t="shared" si="8"/>
        <v>1032.38559574468</v>
      </c>
      <c r="K101" s="2">
        <f t="shared" si="9"/>
        <v>1198.65034104009</v>
      </c>
      <c r="L101" s="16">
        <f t="shared" si="11"/>
        <v>89.8987755780071</v>
      </c>
    </row>
    <row r="102" ht="23.25" spans="1:12">
      <c r="A102" s="11">
        <v>100</v>
      </c>
      <c r="B102" s="12">
        <v>1.09949531362653</v>
      </c>
      <c r="C102" s="12">
        <v>53.35</v>
      </c>
      <c r="D102" s="12">
        <f t="shared" si="6"/>
        <v>58.6580749819754</v>
      </c>
      <c r="E102" s="13">
        <v>0.837059492231906</v>
      </c>
      <c r="F102" s="13">
        <v>92.73</v>
      </c>
      <c r="G102" s="13">
        <f t="shared" si="7"/>
        <v>77.6205267146646</v>
      </c>
      <c r="H102" s="14">
        <v>4.15859030837004</v>
      </c>
      <c r="I102" s="14">
        <v>207.23</v>
      </c>
      <c r="J102" s="15">
        <f t="shared" si="8"/>
        <v>861.784669603523</v>
      </c>
      <c r="K102" s="2">
        <f t="shared" si="9"/>
        <v>998.063271300163</v>
      </c>
      <c r="L102" s="16">
        <f t="shared" si="11"/>
        <v>74.8547453475122</v>
      </c>
    </row>
    <row r="103" ht="23.25" spans="1:12">
      <c r="A103" s="11">
        <v>101</v>
      </c>
      <c r="B103" s="12">
        <v>1.09106708376781</v>
      </c>
      <c r="C103" s="12">
        <v>50.86</v>
      </c>
      <c r="D103" s="12">
        <f t="shared" si="6"/>
        <v>55.4916718804308</v>
      </c>
      <c r="E103" s="13">
        <v>0.768730886850153</v>
      </c>
      <c r="F103" s="13">
        <v>56.68</v>
      </c>
      <c r="G103" s="13">
        <f t="shared" si="7"/>
        <v>43.5716666666667</v>
      </c>
      <c r="H103" s="14">
        <v>3.98604842018876</v>
      </c>
      <c r="I103" s="14">
        <v>134.16</v>
      </c>
      <c r="J103" s="15">
        <f t="shared" si="8"/>
        <v>534.768256052524</v>
      </c>
      <c r="K103" s="2">
        <f t="shared" si="9"/>
        <v>633.831594599622</v>
      </c>
      <c r="L103" s="16">
        <f t="shared" si="11"/>
        <v>47.5373695949716</v>
      </c>
    </row>
    <row r="104" ht="23.25" spans="1:12">
      <c r="A104" s="11">
        <v>102</v>
      </c>
      <c r="B104" s="12">
        <v>0.60567936736161</v>
      </c>
      <c r="C104" s="12">
        <v>46.76</v>
      </c>
      <c r="D104" s="12">
        <f t="shared" si="6"/>
        <v>28.3215672178289</v>
      </c>
      <c r="E104" s="13">
        <v>0.275993883792049</v>
      </c>
      <c r="F104" s="13">
        <v>79.78</v>
      </c>
      <c r="G104" s="13">
        <f t="shared" si="7"/>
        <v>22.0187920489297</v>
      </c>
      <c r="H104" s="14">
        <v>3.23683119037744</v>
      </c>
      <c r="I104" s="14">
        <v>196.11</v>
      </c>
      <c r="J104" s="15">
        <f t="shared" si="8"/>
        <v>634.77496474492</v>
      </c>
      <c r="K104" s="2">
        <f t="shared" si="9"/>
        <v>685.115324011678</v>
      </c>
      <c r="L104" s="16">
        <f t="shared" si="11"/>
        <v>51.3836493008759</v>
      </c>
    </row>
    <row r="105" ht="23.25" spans="1:12">
      <c r="A105" s="11">
        <v>103</v>
      </c>
      <c r="B105" s="12">
        <v>1.00961538461538</v>
      </c>
      <c r="C105" s="12">
        <v>46.99</v>
      </c>
      <c r="D105" s="12">
        <f t="shared" si="6"/>
        <v>47.4418269230767</v>
      </c>
      <c r="E105" s="13">
        <v>0.367280606717226</v>
      </c>
      <c r="F105" s="13">
        <v>75.58</v>
      </c>
      <c r="G105" s="13">
        <f t="shared" si="7"/>
        <v>27.7590682556879</v>
      </c>
      <c r="H105" s="14">
        <v>3.99404525605399</v>
      </c>
      <c r="I105" s="14">
        <v>185.83</v>
      </c>
      <c r="J105" s="15">
        <f t="shared" si="8"/>
        <v>742.213429932513</v>
      </c>
      <c r="K105" s="2">
        <f t="shared" si="9"/>
        <v>817.414325111278</v>
      </c>
      <c r="L105" s="16">
        <f t="shared" si="11"/>
        <v>61.3060743833458</v>
      </c>
    </row>
    <row r="106" ht="23.25" spans="1:12">
      <c r="A106" s="11">
        <v>104</v>
      </c>
      <c r="B106" s="12">
        <v>0.68842504743833</v>
      </c>
      <c r="C106" s="12">
        <v>60.82</v>
      </c>
      <c r="D106" s="12">
        <f t="shared" si="6"/>
        <v>41.8700113851992</v>
      </c>
      <c r="E106" s="13">
        <v>0.187455197132616</v>
      </c>
      <c r="F106" s="13">
        <v>68.89</v>
      </c>
      <c r="G106" s="13">
        <f t="shared" si="7"/>
        <v>12.9137885304659</v>
      </c>
      <c r="H106" s="14">
        <v>4.26028583802512</v>
      </c>
      <c r="I106" s="14">
        <v>214.53</v>
      </c>
      <c r="J106" s="15">
        <f t="shared" si="8"/>
        <v>913.959120831529</v>
      </c>
      <c r="K106" s="2">
        <f t="shared" si="9"/>
        <v>968.742920747194</v>
      </c>
      <c r="L106" s="16">
        <f t="shared" si="11"/>
        <v>72.6557190560396</v>
      </c>
    </row>
    <row r="107" ht="23.25" spans="1:12">
      <c r="A107" s="11">
        <v>105</v>
      </c>
      <c r="B107" s="12">
        <v>0.63036303630363</v>
      </c>
      <c r="C107" s="12">
        <v>54.33</v>
      </c>
      <c r="D107" s="12">
        <f t="shared" si="6"/>
        <v>34.2476237623762</v>
      </c>
      <c r="E107" s="13">
        <v>0.345512311358221</v>
      </c>
      <c r="F107" s="13">
        <v>74.04</v>
      </c>
      <c r="G107" s="13">
        <f t="shared" si="7"/>
        <v>25.5817315329627</v>
      </c>
      <c r="H107" s="14">
        <v>4.01518691588785</v>
      </c>
      <c r="I107" s="14">
        <v>216.94</v>
      </c>
      <c r="J107" s="15">
        <f t="shared" si="8"/>
        <v>871.05464953271</v>
      </c>
      <c r="K107" s="2">
        <f t="shared" si="9"/>
        <v>930.884004828049</v>
      </c>
      <c r="L107" s="16">
        <f t="shared" si="11"/>
        <v>69.8163003621037</v>
      </c>
    </row>
    <row r="108" ht="23.25" spans="1:12">
      <c r="A108" s="11">
        <v>106</v>
      </c>
      <c r="B108" s="12">
        <v>1.04791666666667</v>
      </c>
      <c r="C108" s="12">
        <v>50.6</v>
      </c>
      <c r="D108" s="12">
        <f t="shared" si="6"/>
        <v>53.0245833333335</v>
      </c>
      <c r="E108" s="13">
        <v>0.578095596537448</v>
      </c>
      <c r="F108" s="13">
        <v>66.26</v>
      </c>
      <c r="G108" s="13">
        <f t="shared" si="7"/>
        <v>38.3046142265713</v>
      </c>
      <c r="H108" s="14">
        <v>5</v>
      </c>
      <c r="I108" s="14">
        <v>175.94</v>
      </c>
      <c r="J108" s="15">
        <f t="shared" si="8"/>
        <v>879.7</v>
      </c>
      <c r="K108" s="2">
        <f t="shared" si="9"/>
        <v>971.029197559905</v>
      </c>
      <c r="L108" s="16">
        <f t="shared" si="11"/>
        <v>72.8271898169929</v>
      </c>
    </row>
    <row r="109" ht="23.25" spans="1:12">
      <c r="A109" s="11">
        <v>107</v>
      </c>
      <c r="B109" s="12">
        <v>0.607689127738735</v>
      </c>
      <c r="C109" s="12">
        <v>63.32</v>
      </c>
      <c r="D109" s="12">
        <f t="shared" si="6"/>
        <v>38.4788755684167</v>
      </c>
      <c r="E109" s="13">
        <v>0.209865470852018</v>
      </c>
      <c r="F109" s="13">
        <v>72.5</v>
      </c>
      <c r="G109" s="13">
        <f t="shared" si="7"/>
        <v>15.2152466367713</v>
      </c>
      <c r="H109" s="14">
        <v>3.66967792615868</v>
      </c>
      <c r="I109" s="14">
        <v>234.04</v>
      </c>
      <c r="J109" s="15">
        <f t="shared" si="8"/>
        <v>858.851421838177</v>
      </c>
      <c r="K109" s="2">
        <f t="shared" si="9"/>
        <v>912.545544043365</v>
      </c>
      <c r="L109" s="16">
        <f t="shared" si="11"/>
        <v>68.4409158032524</v>
      </c>
    </row>
    <row r="110" ht="23.25" spans="1:12">
      <c r="A110" s="11">
        <v>108</v>
      </c>
      <c r="B110" s="12">
        <v>0.558661272526664</v>
      </c>
      <c r="C110" s="12">
        <v>52.76</v>
      </c>
      <c r="D110" s="12">
        <f t="shared" si="6"/>
        <v>29.4749687385068</v>
      </c>
      <c r="E110" s="13">
        <v>0.229020256304258</v>
      </c>
      <c r="F110" s="13">
        <v>60.36</v>
      </c>
      <c r="G110" s="13">
        <f t="shared" si="7"/>
        <v>13.823662670525</v>
      </c>
      <c r="H110" s="14">
        <v>3.95151515151515</v>
      </c>
      <c r="I110" s="14">
        <v>181.53</v>
      </c>
      <c r="J110" s="15">
        <f t="shared" si="8"/>
        <v>717.318545454545</v>
      </c>
      <c r="K110" s="2">
        <f t="shared" si="9"/>
        <v>760.617176863577</v>
      </c>
      <c r="L110" s="16">
        <f t="shared" si="11"/>
        <v>57.0462882647683</v>
      </c>
    </row>
    <row r="111" ht="23.25" spans="1:12">
      <c r="A111" s="11">
        <v>109</v>
      </c>
      <c r="B111" s="12">
        <v>0.611194590533434</v>
      </c>
      <c r="C111" s="12">
        <v>51.36</v>
      </c>
      <c r="D111" s="12">
        <f t="shared" si="6"/>
        <v>31.3909541697972</v>
      </c>
      <c r="E111" s="13">
        <v>0.202568351284176</v>
      </c>
      <c r="F111" s="13">
        <v>62.45</v>
      </c>
      <c r="G111" s="13">
        <f t="shared" si="7"/>
        <v>12.6503935376968</v>
      </c>
      <c r="H111" s="14">
        <v>3.91643116673395</v>
      </c>
      <c r="I111" s="14">
        <v>190.04</v>
      </c>
      <c r="J111" s="15">
        <f t="shared" si="8"/>
        <v>744.27857892612</v>
      </c>
      <c r="K111" s="2">
        <f t="shared" si="9"/>
        <v>788.319926633614</v>
      </c>
      <c r="L111" s="16">
        <f t="shared" si="11"/>
        <v>59.123994497521</v>
      </c>
    </row>
    <row r="112" ht="23.25" spans="1:12">
      <c r="A112" s="11">
        <v>110</v>
      </c>
      <c r="B112" s="12">
        <v>0.835891381345927</v>
      </c>
      <c r="C112" s="12">
        <v>61.66</v>
      </c>
      <c r="D112" s="12">
        <f t="shared" si="6"/>
        <v>51.5410625737899</v>
      </c>
      <c r="E112" s="13">
        <v>0.267411545623836</v>
      </c>
      <c r="F112" s="13">
        <v>97.61</v>
      </c>
      <c r="G112" s="13">
        <f t="shared" si="7"/>
        <v>26.1020409683426</v>
      </c>
      <c r="H112" s="14">
        <v>4.621014818141</v>
      </c>
      <c r="I112" s="14">
        <v>223.22</v>
      </c>
      <c r="J112" s="15">
        <f t="shared" si="8"/>
        <v>1031.50292770543</v>
      </c>
      <c r="K112" s="2">
        <f t="shared" si="9"/>
        <v>1109.14603124757</v>
      </c>
      <c r="L112" s="16">
        <f t="shared" si="11"/>
        <v>83.1859523435675</v>
      </c>
    </row>
    <row r="113" ht="23.25" spans="1:12">
      <c r="A113" s="11">
        <v>111</v>
      </c>
      <c r="B113" s="12">
        <v>0.611886860007161</v>
      </c>
      <c r="C113" s="12">
        <v>61.54</v>
      </c>
      <c r="D113" s="12">
        <f t="shared" si="6"/>
        <v>37.6555173648407</v>
      </c>
      <c r="E113" s="13">
        <v>0.252541683611224</v>
      </c>
      <c r="F113" s="13">
        <v>80.72</v>
      </c>
      <c r="G113" s="13">
        <f t="shared" si="7"/>
        <v>20.385164701098</v>
      </c>
      <c r="H113" s="14">
        <v>4.1872852233677</v>
      </c>
      <c r="I113" s="14">
        <v>217.79</v>
      </c>
      <c r="J113" s="15">
        <f t="shared" si="8"/>
        <v>911.948848797251</v>
      </c>
      <c r="K113" s="2">
        <f t="shared" si="9"/>
        <v>969.98953086319</v>
      </c>
      <c r="L113" s="16">
        <f t="shared" si="11"/>
        <v>72.7492148147392</v>
      </c>
    </row>
    <row r="114" ht="23.25" spans="1:12">
      <c r="A114" s="11">
        <v>112</v>
      </c>
      <c r="B114" s="12">
        <v>0.81962962962963</v>
      </c>
      <c r="C114" s="12">
        <v>48.42</v>
      </c>
      <c r="D114" s="12">
        <f t="shared" si="6"/>
        <v>39.6864666666667</v>
      </c>
      <c r="E114" s="13">
        <v>0.374204946996467</v>
      </c>
      <c r="F114" s="13">
        <v>60.58</v>
      </c>
      <c r="G114" s="13">
        <f t="shared" si="7"/>
        <v>22.669335689046</v>
      </c>
      <c r="H114" s="14">
        <v>3.39802065404475</v>
      </c>
      <c r="I114" s="14">
        <v>210.3</v>
      </c>
      <c r="J114" s="15">
        <f t="shared" si="8"/>
        <v>714.603743545611</v>
      </c>
      <c r="K114" s="2">
        <f t="shared" si="9"/>
        <v>776.959545901324</v>
      </c>
      <c r="L114" s="16">
        <f t="shared" si="11"/>
        <v>58.2719659425993</v>
      </c>
    </row>
    <row r="115" ht="23.25" spans="1:12">
      <c r="A115" s="11">
        <v>113</v>
      </c>
      <c r="B115" s="12">
        <v>0.617181612660136</v>
      </c>
      <c r="C115" s="12">
        <v>47.93</v>
      </c>
      <c r="D115" s="12">
        <f t="shared" si="6"/>
        <v>29.5815146948003</v>
      </c>
      <c r="E115" s="13">
        <v>0.294513631773814</v>
      </c>
      <c r="F115" s="13">
        <v>58.17</v>
      </c>
      <c r="G115" s="13">
        <f t="shared" si="7"/>
        <v>17.1318579602828</v>
      </c>
      <c r="H115" s="14">
        <v>4.35190839694656</v>
      </c>
      <c r="I115" s="14">
        <v>171.5</v>
      </c>
      <c r="J115" s="15">
        <f t="shared" si="8"/>
        <v>746.352290076335</v>
      </c>
      <c r="K115" s="2">
        <f t="shared" si="9"/>
        <v>793.065662731418</v>
      </c>
      <c r="L115" s="16">
        <f t="shared" si="11"/>
        <v>59.4799247048564</v>
      </c>
    </row>
    <row r="116" ht="23.25" spans="1:12">
      <c r="A116" s="11">
        <v>114</v>
      </c>
      <c r="B116" s="12">
        <v>0.746341463414634</v>
      </c>
      <c r="C116" s="12">
        <v>32.22</v>
      </c>
      <c r="D116" s="12">
        <f t="shared" si="6"/>
        <v>24.0471219512195</v>
      </c>
      <c r="E116" s="13">
        <v>0.885786802030457</v>
      </c>
      <c r="F116" s="13">
        <v>64.96</v>
      </c>
      <c r="G116" s="13">
        <f t="shared" si="7"/>
        <v>57.5407106598985</v>
      </c>
      <c r="H116" s="14">
        <v>4.33359683794466</v>
      </c>
      <c r="I116" s="14">
        <v>138.88</v>
      </c>
      <c r="J116" s="15">
        <f t="shared" si="8"/>
        <v>601.849928853754</v>
      </c>
      <c r="K116" s="2">
        <f t="shared" si="9"/>
        <v>683.437761464872</v>
      </c>
      <c r="L116" s="16">
        <f t="shared" si="11"/>
        <v>51.2578321098654</v>
      </c>
    </row>
    <row r="117" ht="23.25" spans="1:12">
      <c r="A117" s="11">
        <v>115</v>
      </c>
      <c r="B117" s="12">
        <v>2.04636209813875</v>
      </c>
      <c r="C117" s="12">
        <v>36.81</v>
      </c>
      <c r="D117" s="12">
        <f t="shared" si="6"/>
        <v>75.3265888324874</v>
      </c>
      <c r="E117" s="13">
        <v>2.31744040150565</v>
      </c>
      <c r="F117" s="13">
        <v>53.3</v>
      </c>
      <c r="G117" s="13">
        <f t="shared" si="7"/>
        <v>123.519573400251</v>
      </c>
      <c r="H117" s="14">
        <v>4.90863337204801</v>
      </c>
      <c r="I117" s="14">
        <v>162.22</v>
      </c>
      <c r="J117" s="15">
        <f t="shared" si="8"/>
        <v>796.278505613628</v>
      </c>
      <c r="K117" s="2">
        <f t="shared" si="9"/>
        <v>995.124667846367</v>
      </c>
      <c r="L117" s="16">
        <f t="shared" si="11"/>
        <v>74.6343500884775</v>
      </c>
    </row>
    <row r="118" ht="23.25" spans="1:12">
      <c r="A118" s="11">
        <v>116</v>
      </c>
      <c r="B118" s="12">
        <v>0.934274193548387</v>
      </c>
      <c r="C118" s="12">
        <v>46.27</v>
      </c>
      <c r="D118" s="12">
        <f t="shared" si="6"/>
        <v>43.2288669354839</v>
      </c>
      <c r="E118" s="13">
        <v>0.387921022067364</v>
      </c>
      <c r="F118" s="13">
        <v>80.41</v>
      </c>
      <c r="G118" s="13">
        <f t="shared" si="7"/>
        <v>31.1927293844367</v>
      </c>
      <c r="H118" s="14">
        <v>3.63518966908797</v>
      </c>
      <c r="I118" s="14">
        <v>199.82</v>
      </c>
      <c r="J118" s="15">
        <f t="shared" si="8"/>
        <v>726.383599677158</v>
      </c>
      <c r="K118" s="2">
        <f t="shared" si="9"/>
        <v>800.805195997079</v>
      </c>
      <c r="L118" s="16">
        <f t="shared" si="11"/>
        <v>60.0603896997809</v>
      </c>
    </row>
    <row r="119" ht="23.25" spans="1:12">
      <c r="A119" s="11">
        <v>117</v>
      </c>
      <c r="B119" s="12">
        <v>1.13187772925764</v>
      </c>
      <c r="C119" s="12">
        <v>62.23</v>
      </c>
      <c r="D119" s="12">
        <f t="shared" si="6"/>
        <v>70.4367510917029</v>
      </c>
      <c r="E119" s="13">
        <v>0.374230611407468</v>
      </c>
      <c r="F119" s="13">
        <v>89.4</v>
      </c>
      <c r="G119" s="13">
        <f t="shared" si="7"/>
        <v>33.4562166598276</v>
      </c>
      <c r="H119" s="14">
        <v>4.28389034923019</v>
      </c>
      <c r="I119" s="14">
        <v>229.57</v>
      </c>
      <c r="J119" s="15">
        <f t="shared" si="8"/>
        <v>983.452707472775</v>
      </c>
      <c r="K119" s="2">
        <f t="shared" si="9"/>
        <v>1087.34567522431</v>
      </c>
      <c r="L119" s="16">
        <f t="shared" si="11"/>
        <v>81.5509256418229</v>
      </c>
    </row>
    <row r="120" ht="23.25" spans="1:12">
      <c r="A120" s="11">
        <v>118</v>
      </c>
      <c r="B120" s="12">
        <v>0.633616298811545</v>
      </c>
      <c r="C120" s="12">
        <v>57.89</v>
      </c>
      <c r="D120" s="12">
        <f t="shared" si="6"/>
        <v>36.6800475382003</v>
      </c>
      <c r="E120" s="13">
        <v>0.242846094354215</v>
      </c>
      <c r="F120" s="13">
        <v>73.24</v>
      </c>
      <c r="G120" s="13">
        <f t="shared" si="7"/>
        <v>17.7860479505027</v>
      </c>
      <c r="H120" s="14">
        <v>3.96810567010309</v>
      </c>
      <c r="I120" s="14">
        <v>233.41</v>
      </c>
      <c r="J120" s="15">
        <f t="shared" si="8"/>
        <v>926.195544458762</v>
      </c>
      <c r="K120" s="2">
        <f t="shared" si="9"/>
        <v>980.661639947465</v>
      </c>
      <c r="L120" s="16">
        <f t="shared" si="11"/>
        <v>73.5496229960599</v>
      </c>
    </row>
    <row r="121" ht="23.25" spans="1:12">
      <c r="A121" s="11">
        <v>119</v>
      </c>
      <c r="B121" s="12">
        <v>0.674961715160796</v>
      </c>
      <c r="C121" s="12">
        <v>50.75</v>
      </c>
      <c r="D121" s="12">
        <f t="shared" si="6"/>
        <v>34.2543070444104</v>
      </c>
      <c r="E121" s="13">
        <v>0.212197159565581</v>
      </c>
      <c r="F121" s="13">
        <v>67.65</v>
      </c>
      <c r="G121" s="13">
        <f t="shared" si="7"/>
        <v>14.3551378446116</v>
      </c>
      <c r="H121" s="14">
        <v>3.90881720430107</v>
      </c>
      <c r="I121" s="14">
        <v>207.91</v>
      </c>
      <c r="J121" s="15">
        <f t="shared" si="8"/>
        <v>812.682184946235</v>
      </c>
      <c r="K121" s="2">
        <f t="shared" si="9"/>
        <v>861.291629835257</v>
      </c>
      <c r="L121" s="16">
        <f t="shared" si="11"/>
        <v>64.5968722376443</v>
      </c>
    </row>
    <row r="122" ht="23.25" spans="1:12">
      <c r="A122" s="11">
        <v>120</v>
      </c>
      <c r="B122" s="12">
        <v>1.61307692307692</v>
      </c>
      <c r="C122" s="12">
        <v>26.92</v>
      </c>
      <c r="D122" s="12">
        <f t="shared" si="6"/>
        <v>43.4240307692307</v>
      </c>
      <c r="E122" s="13">
        <v>0.463587921847247</v>
      </c>
      <c r="F122" s="13">
        <v>31.89</v>
      </c>
      <c r="G122" s="13">
        <f t="shared" si="7"/>
        <v>14.7838188277087</v>
      </c>
      <c r="H122" s="14">
        <v>4.14705882352941</v>
      </c>
      <c r="I122" s="14">
        <v>91.97</v>
      </c>
      <c r="J122" s="15">
        <f t="shared" si="8"/>
        <v>381.405</v>
      </c>
      <c r="K122" s="2">
        <f t="shared" si="9"/>
        <v>439.612849596939</v>
      </c>
      <c r="L122" s="16">
        <f t="shared" si="11"/>
        <v>32.9709637197705</v>
      </c>
    </row>
  </sheetData>
  <mergeCells count="6">
    <mergeCell ref="B1:D1"/>
    <mergeCell ref="E1:G1"/>
    <mergeCell ref="H1:J1"/>
    <mergeCell ref="A1:A2"/>
    <mergeCell ref="K1:K2"/>
    <mergeCell ref="L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Milk-ripe 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2026-04-15T09:24:00Z</dcterms:created>
  <dcterms:modified xsi:type="dcterms:W3CDTF">2026-04-15T11:28:49Z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5E51869448194595BB5DFD6EE323DC04_11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